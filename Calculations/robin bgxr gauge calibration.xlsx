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84" yWindow="72" windowWidth="19140" windowHeight="9552" activeTab="1"/>
  </bookViews>
  <sheets>
    <sheet name="Voltages" sheetId="1" r:id="rId1"/>
    <sheet name="ADC readings" sheetId="2" r:id="rId2"/>
    <sheet name="Sheet3" sheetId="3" r:id="rId3"/>
  </sheets>
  <calcPr calcId="145621"/>
</workbook>
</file>

<file path=xl/calcChain.xml><?xml version="1.0" encoding="utf-8"?>
<calcChain xmlns="http://schemas.openxmlformats.org/spreadsheetml/2006/main">
  <c r="D51" i="2" l="1"/>
  <c r="D52" i="2"/>
  <c r="D53" i="2"/>
  <c r="D54" i="2"/>
  <c r="D50" i="2"/>
  <c r="E36" i="2"/>
  <c r="E37" i="2"/>
  <c r="E38" i="2"/>
  <c r="E39" i="2"/>
  <c r="E35" i="2"/>
  <c r="D36" i="2"/>
  <c r="D37" i="2"/>
  <c r="D38" i="2"/>
  <c r="D39" i="2"/>
  <c r="D35" i="2"/>
  <c r="F35" i="2"/>
  <c r="I14" i="2"/>
  <c r="H14" i="2"/>
  <c r="I15" i="2"/>
  <c r="I17" i="2"/>
  <c r="I18" i="2"/>
  <c r="I19" i="2"/>
  <c r="I20" i="2"/>
  <c r="H17" i="2"/>
  <c r="H18" i="2"/>
  <c r="H19" i="2"/>
  <c r="H20" i="2"/>
  <c r="H15" i="2"/>
  <c r="G17" i="2"/>
  <c r="G18" i="2"/>
  <c r="G19" i="2"/>
  <c r="G20" i="2"/>
  <c r="G15" i="2"/>
  <c r="C4" i="2"/>
  <c r="C5" i="2"/>
  <c r="C6" i="2"/>
  <c r="C7" i="2"/>
  <c r="C8" i="2"/>
  <c r="C9" i="2"/>
  <c r="C3" i="2"/>
  <c r="F6" i="1" l="1"/>
  <c r="F5" i="1"/>
</calcChain>
</file>

<file path=xl/sharedStrings.xml><?xml version="1.0" encoding="utf-8"?>
<sst xmlns="http://schemas.openxmlformats.org/spreadsheetml/2006/main" count="32" uniqueCount="22">
  <si>
    <t>Voltage</t>
  </si>
  <si>
    <t>Fuel (L)</t>
  </si>
  <si>
    <t>Temp C</t>
  </si>
  <si>
    <t>Oil Press</t>
  </si>
  <si>
    <t>F Press</t>
  </si>
  <si>
    <t>R1</t>
  </si>
  <si>
    <t>R2</t>
  </si>
  <si>
    <t>Ratio</t>
  </si>
  <si>
    <t>Vmax</t>
  </si>
  <si>
    <t>ADC</t>
  </si>
  <si>
    <t>BUS Voltage</t>
  </si>
  <si>
    <t>BUS</t>
  </si>
  <si>
    <t>14V</t>
  </si>
  <si>
    <t>12V</t>
  </si>
  <si>
    <t>13V</t>
  </si>
  <si>
    <t>10V</t>
  </si>
  <si>
    <t>Fuel</t>
  </si>
  <si>
    <t>Temp</t>
  </si>
  <si>
    <t>Check</t>
  </si>
  <si>
    <t>F press</t>
  </si>
  <si>
    <t>O Press</t>
  </si>
  <si>
    <t>AMP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</si>
</sst>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2" fontId="0" fillId="0" borderId="0" xfId="0" applyNumberFormat="1"/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3085739282589675E-2"/>
          <c:y val="5.4717052773466592E-2"/>
          <c:w val="0.85523381452318459"/>
          <c:h val="0.79427840507278358"/>
        </c:manualLayout>
      </c:layout>
      <c:scatterChart>
        <c:scatterStyle val="smoothMarker"/>
        <c:varyColors val="0"/>
        <c:ser>
          <c:idx val="0"/>
          <c:order val="0"/>
          <c:tx>
            <c:strRef>
              <c:f>Voltages!$C$2</c:f>
              <c:strCache>
                <c:ptCount val="1"/>
                <c:pt idx="0">
                  <c:v>Voltage</c:v>
                </c:pt>
              </c:strCache>
            </c:strRef>
          </c:tx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xVal>
            <c:numRef>
              <c:f>Voltages!$B$3:$B$9</c:f>
              <c:numCache>
                <c:formatCode>General</c:formatCode>
                <c:ptCount val="7"/>
                <c:pt idx="0">
                  <c:v>0</c:v>
                </c:pt>
                <c:pt idx="1">
                  <c:v>10</c:v>
                </c:pt>
                <c:pt idx="2">
                  <c:v>30</c:v>
                </c:pt>
                <c:pt idx="3">
                  <c:v>50</c:v>
                </c:pt>
                <c:pt idx="4">
                  <c:v>70</c:v>
                </c:pt>
                <c:pt idx="5">
                  <c:v>90</c:v>
                </c:pt>
                <c:pt idx="6">
                  <c:v>110</c:v>
                </c:pt>
              </c:numCache>
            </c:numRef>
          </c:xVal>
          <c:yVal>
            <c:numRef>
              <c:f>Voltages!$C$3:$C$9</c:f>
              <c:numCache>
                <c:formatCode>0.00</c:formatCode>
                <c:ptCount val="7"/>
                <c:pt idx="0">
                  <c:v>7.25</c:v>
                </c:pt>
                <c:pt idx="1">
                  <c:v>6.77</c:v>
                </c:pt>
                <c:pt idx="2">
                  <c:v>5.98</c:v>
                </c:pt>
                <c:pt idx="3">
                  <c:v>5</c:v>
                </c:pt>
                <c:pt idx="4">
                  <c:v>3.5</c:v>
                </c:pt>
                <c:pt idx="5">
                  <c:v>2.2999999999999998</c:v>
                </c:pt>
                <c:pt idx="6">
                  <c:v>0.5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2317824"/>
        <c:axId val="162319360"/>
      </c:scatterChart>
      <c:valAx>
        <c:axId val="1623178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62319360"/>
        <c:crosses val="autoZero"/>
        <c:crossBetween val="midCat"/>
      </c:valAx>
      <c:valAx>
        <c:axId val="162319360"/>
        <c:scaling>
          <c:orientation val="minMax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crossAx val="162317824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Voltages!$C$12</c:f>
              <c:strCache>
                <c:ptCount val="1"/>
                <c:pt idx="0">
                  <c:v>Voltage</c:v>
                </c:pt>
              </c:strCache>
            </c:strRef>
          </c:tx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xVal>
            <c:numRef>
              <c:f>Voltages!$B$13:$B$17</c:f>
              <c:numCache>
                <c:formatCode>General</c:formatCode>
                <c:ptCount val="5"/>
                <c:pt idx="0">
                  <c:v>40</c:v>
                </c:pt>
                <c:pt idx="1">
                  <c:v>60</c:v>
                </c:pt>
                <c:pt idx="2">
                  <c:v>80</c:v>
                </c:pt>
                <c:pt idx="3">
                  <c:v>110</c:v>
                </c:pt>
                <c:pt idx="4">
                  <c:v>130</c:v>
                </c:pt>
              </c:numCache>
            </c:numRef>
          </c:xVal>
          <c:yVal>
            <c:numRef>
              <c:f>Voltages!$C$13:$C$17</c:f>
              <c:numCache>
                <c:formatCode>General</c:formatCode>
                <c:ptCount val="5"/>
                <c:pt idx="0">
                  <c:v>9.15</c:v>
                </c:pt>
                <c:pt idx="1">
                  <c:v>8.25</c:v>
                </c:pt>
                <c:pt idx="2">
                  <c:v>7.09</c:v>
                </c:pt>
                <c:pt idx="3">
                  <c:v>5.59</c:v>
                </c:pt>
                <c:pt idx="4">
                  <c:v>4.3899999999999997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3349248"/>
        <c:axId val="163350784"/>
      </c:scatterChart>
      <c:valAx>
        <c:axId val="163349248"/>
        <c:scaling>
          <c:orientation val="minMax"/>
          <c:min val="30"/>
        </c:scaling>
        <c:delete val="0"/>
        <c:axPos val="b"/>
        <c:numFmt formatCode="General" sourceLinked="1"/>
        <c:majorTickMark val="out"/>
        <c:minorTickMark val="none"/>
        <c:tickLblPos val="nextTo"/>
        <c:crossAx val="163350784"/>
        <c:crosses val="autoZero"/>
        <c:crossBetween val="midCat"/>
      </c:valAx>
      <c:valAx>
        <c:axId val="163350784"/>
        <c:scaling>
          <c:orientation val="minMax"/>
          <c:min val="3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63349248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Voltages!$C$30</c:f>
              <c:strCache>
                <c:ptCount val="1"/>
                <c:pt idx="0">
                  <c:v>Voltage</c:v>
                </c:pt>
              </c:strCache>
            </c:strRef>
          </c:tx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xVal>
            <c:numRef>
              <c:f>Voltages!$B$31:$B$34</c:f>
              <c:numCache>
                <c:formatCode>General</c:formatCode>
                <c:ptCount val="4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</c:numCache>
            </c:numRef>
          </c:xVal>
          <c:yVal>
            <c:numRef>
              <c:f>Voltages!$C$31:$C$34</c:f>
              <c:numCache>
                <c:formatCode>General</c:formatCode>
                <c:ptCount val="4"/>
                <c:pt idx="0">
                  <c:v>6.73</c:v>
                </c:pt>
                <c:pt idx="1">
                  <c:v>5.4</c:v>
                </c:pt>
                <c:pt idx="2">
                  <c:v>3.5</c:v>
                </c:pt>
                <c:pt idx="3">
                  <c:v>0.5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3850368"/>
        <c:axId val="194156032"/>
      </c:scatterChart>
      <c:valAx>
        <c:axId val="1938503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94156032"/>
        <c:crosses val="autoZero"/>
        <c:crossBetween val="midCat"/>
      </c:valAx>
      <c:valAx>
        <c:axId val="19415603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93850368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Voltages!$C$46</c:f>
              <c:strCache>
                <c:ptCount val="1"/>
                <c:pt idx="0">
                  <c:v>Voltage</c:v>
                </c:pt>
              </c:strCache>
            </c:strRef>
          </c:tx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xVal>
            <c:numRef>
              <c:f>Voltages!$B$47:$B$54</c:f>
              <c:numCache>
                <c:formatCode>General</c:formatCode>
                <c:ptCount val="8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</c:numCache>
            </c:numRef>
          </c:xVal>
          <c:yVal>
            <c:numRef>
              <c:f>Voltages!$C$47:$C$54</c:f>
              <c:numCache>
                <c:formatCode>General</c:formatCode>
                <c:ptCount val="8"/>
                <c:pt idx="0">
                  <c:v>6.6</c:v>
                </c:pt>
                <c:pt idx="1">
                  <c:v>5.98</c:v>
                </c:pt>
                <c:pt idx="2">
                  <c:v>5.48</c:v>
                </c:pt>
                <c:pt idx="3">
                  <c:v>4.9000000000000004</c:v>
                </c:pt>
                <c:pt idx="4">
                  <c:v>4.1500000000000004</c:v>
                </c:pt>
                <c:pt idx="5">
                  <c:v>3.03</c:v>
                </c:pt>
                <c:pt idx="6">
                  <c:v>1.78</c:v>
                </c:pt>
                <c:pt idx="7">
                  <c:v>0.4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5281920"/>
        <c:axId val="213248640"/>
      </c:scatterChart>
      <c:valAx>
        <c:axId val="2052819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13248640"/>
        <c:crosses val="autoZero"/>
        <c:crossBetween val="midCat"/>
      </c:valAx>
      <c:valAx>
        <c:axId val="21324864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05281920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Voltages!$B$2</c:f>
              <c:strCache>
                <c:ptCount val="1"/>
                <c:pt idx="0">
                  <c:v>Fuel (L)</c:v>
                </c:pt>
              </c:strCache>
            </c:strRef>
          </c:tx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trendline>
            <c:trendlineType val="poly"/>
            <c:order val="2"/>
            <c:dispRSqr val="0"/>
            <c:dispEq val="1"/>
            <c:trendlineLbl>
              <c:layout>
                <c:manualLayout>
                  <c:x val="-3.4831583552055994E-3"/>
                  <c:y val="1.1883931175269758E-3"/>
                </c:manualLayout>
              </c:layout>
              <c:numFmt formatCode="General" sourceLinked="0"/>
            </c:trendlineLbl>
          </c:trendline>
          <c:xVal>
            <c:numRef>
              <c:f>Voltages!$A$3:$A$9</c:f>
              <c:numCache>
                <c:formatCode>General</c:formatCode>
                <c:ptCount val="7"/>
                <c:pt idx="0">
                  <c:v>810</c:v>
                </c:pt>
                <c:pt idx="1">
                  <c:v>758</c:v>
                </c:pt>
                <c:pt idx="2">
                  <c:v>672</c:v>
                </c:pt>
                <c:pt idx="3">
                  <c:v>549</c:v>
                </c:pt>
                <c:pt idx="4">
                  <c:v>391</c:v>
                </c:pt>
                <c:pt idx="5">
                  <c:v>271</c:v>
                </c:pt>
                <c:pt idx="6">
                  <c:v>65</c:v>
                </c:pt>
              </c:numCache>
            </c:numRef>
          </c:xVal>
          <c:yVal>
            <c:numRef>
              <c:f>Voltages!$B$3:$B$9</c:f>
              <c:numCache>
                <c:formatCode>General</c:formatCode>
                <c:ptCount val="7"/>
                <c:pt idx="0">
                  <c:v>0</c:v>
                </c:pt>
                <c:pt idx="1">
                  <c:v>10</c:v>
                </c:pt>
                <c:pt idx="2">
                  <c:v>30</c:v>
                </c:pt>
                <c:pt idx="3">
                  <c:v>50</c:v>
                </c:pt>
                <c:pt idx="4">
                  <c:v>70</c:v>
                </c:pt>
                <c:pt idx="5">
                  <c:v>90</c:v>
                </c:pt>
                <c:pt idx="6">
                  <c:v>110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8492672"/>
        <c:axId val="62038784"/>
      </c:scatterChart>
      <c:valAx>
        <c:axId val="2384926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62038784"/>
        <c:crosses val="autoZero"/>
        <c:crossBetween val="midCat"/>
      </c:valAx>
      <c:valAx>
        <c:axId val="6203878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38492672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'ADC readings'!$B$2</c:f>
              <c:strCache>
                <c:ptCount val="1"/>
                <c:pt idx="0">
                  <c:v>ADC</c:v>
                </c:pt>
              </c:strCache>
            </c:strRef>
          </c:tx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xVal>
            <c:numRef>
              <c:f>'ADC readings'!$A$3:$A$9</c:f>
              <c:numCache>
                <c:formatCode>0.0</c:formatCode>
                <c:ptCount val="7"/>
                <c:pt idx="0">
                  <c:v>9</c:v>
                </c:pt>
                <c:pt idx="1">
                  <c:v>10</c:v>
                </c:pt>
                <c:pt idx="2">
                  <c:v>11</c:v>
                </c:pt>
                <c:pt idx="3">
                  <c:v>12</c:v>
                </c:pt>
                <c:pt idx="4">
                  <c:v>13</c:v>
                </c:pt>
                <c:pt idx="5">
                  <c:v>14</c:v>
                </c:pt>
                <c:pt idx="6">
                  <c:v>15</c:v>
                </c:pt>
              </c:numCache>
            </c:numRef>
          </c:xVal>
          <c:yVal>
            <c:numRef>
              <c:f>'ADC readings'!$B$3:$B$9</c:f>
              <c:numCache>
                <c:formatCode>General</c:formatCode>
                <c:ptCount val="7"/>
                <c:pt idx="0">
                  <c:v>1853</c:v>
                </c:pt>
                <c:pt idx="1">
                  <c:v>2085</c:v>
                </c:pt>
                <c:pt idx="2">
                  <c:v>2306</c:v>
                </c:pt>
                <c:pt idx="3">
                  <c:v>2511</c:v>
                </c:pt>
                <c:pt idx="4">
                  <c:v>2744</c:v>
                </c:pt>
                <c:pt idx="5">
                  <c:v>2990</c:v>
                </c:pt>
                <c:pt idx="6">
                  <c:v>3254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055552"/>
        <c:axId val="62057088"/>
      </c:scatterChart>
      <c:valAx>
        <c:axId val="62055552"/>
        <c:scaling>
          <c:orientation val="minMax"/>
          <c:min val="5"/>
        </c:scaling>
        <c:delete val="0"/>
        <c:axPos val="b"/>
        <c:numFmt formatCode="0.0" sourceLinked="1"/>
        <c:majorTickMark val="out"/>
        <c:minorTickMark val="none"/>
        <c:tickLblPos val="nextTo"/>
        <c:crossAx val="62057088"/>
        <c:crosses val="autoZero"/>
        <c:crossBetween val="midCat"/>
      </c:valAx>
      <c:valAx>
        <c:axId val="62057088"/>
        <c:scaling>
          <c:orientation val="minMax"/>
          <c:min val="15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62055552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'ADC readings'!$C$2</c:f>
              <c:strCache>
                <c:ptCount val="1"/>
                <c:pt idx="0">
                  <c:v>BUS</c:v>
                </c:pt>
              </c:strCache>
            </c:strRef>
          </c:tx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trendline>
            <c:trendlineType val="poly"/>
            <c:order val="2"/>
            <c:dispRSqr val="0"/>
            <c:dispEq val="1"/>
            <c:trendlineLbl>
              <c:layout>
                <c:manualLayout>
                  <c:x val="0.12061633472286552"/>
                  <c:y val="0.43965895772462404"/>
                </c:manualLayout>
              </c:layout>
              <c:numFmt formatCode="General" sourceLinked="0"/>
            </c:trendlineLbl>
          </c:trendline>
          <c:xVal>
            <c:numRef>
              <c:f>'ADC readings'!$B$3:$B$9</c:f>
              <c:numCache>
                <c:formatCode>General</c:formatCode>
                <c:ptCount val="7"/>
                <c:pt idx="0">
                  <c:v>1853</c:v>
                </c:pt>
                <c:pt idx="1">
                  <c:v>2085</c:v>
                </c:pt>
                <c:pt idx="2">
                  <c:v>2306</c:v>
                </c:pt>
                <c:pt idx="3">
                  <c:v>2511</c:v>
                </c:pt>
                <c:pt idx="4">
                  <c:v>2744</c:v>
                </c:pt>
                <c:pt idx="5">
                  <c:v>2990</c:v>
                </c:pt>
                <c:pt idx="6">
                  <c:v>3254</c:v>
                </c:pt>
              </c:numCache>
            </c:numRef>
          </c:xVal>
          <c:yVal>
            <c:numRef>
              <c:f>'ADC readings'!$C$3:$C$9</c:f>
              <c:numCache>
                <c:formatCode>0.0</c:formatCode>
                <c:ptCount val="7"/>
                <c:pt idx="0">
                  <c:v>9</c:v>
                </c:pt>
                <c:pt idx="1">
                  <c:v>10</c:v>
                </c:pt>
                <c:pt idx="2">
                  <c:v>11</c:v>
                </c:pt>
                <c:pt idx="3">
                  <c:v>12</c:v>
                </c:pt>
                <c:pt idx="4">
                  <c:v>13</c:v>
                </c:pt>
                <c:pt idx="5">
                  <c:v>14</c:v>
                </c:pt>
                <c:pt idx="6">
                  <c:v>15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076416"/>
        <c:axId val="62077952"/>
      </c:scatterChart>
      <c:valAx>
        <c:axId val="62076416"/>
        <c:scaling>
          <c:orientation val="minMax"/>
          <c:min val="1500"/>
        </c:scaling>
        <c:delete val="0"/>
        <c:axPos val="b"/>
        <c:numFmt formatCode="General" sourceLinked="1"/>
        <c:majorTickMark val="out"/>
        <c:minorTickMark val="none"/>
        <c:tickLblPos val="nextTo"/>
        <c:crossAx val="62077952"/>
        <c:crosses val="autoZero"/>
        <c:crossBetween val="midCat"/>
      </c:valAx>
      <c:valAx>
        <c:axId val="62077952"/>
        <c:scaling>
          <c:orientation val="minMax"/>
          <c:min val="5"/>
        </c:scaling>
        <c:delete val="0"/>
        <c:axPos val="l"/>
        <c:majorGridlines/>
        <c:numFmt formatCode="0.0" sourceLinked="1"/>
        <c:majorTickMark val="out"/>
        <c:minorTickMark val="none"/>
        <c:tickLblPos val="nextTo"/>
        <c:crossAx val="62076416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'ADC readings'!$B$14</c:f>
              <c:strCache>
                <c:ptCount val="1"/>
                <c:pt idx="0">
                  <c:v>14V</c:v>
                </c:pt>
              </c:strCache>
            </c:strRef>
          </c:tx>
          <c:trendline>
            <c:trendlineType val="poly"/>
            <c:order val="2"/>
            <c:dispRSqr val="0"/>
            <c:dispEq val="1"/>
            <c:trendlineLbl>
              <c:layout>
                <c:manualLayout>
                  <c:x val="8.372244094488189E-2"/>
                  <c:y val="-0.66725721784776904"/>
                </c:manualLayout>
              </c:layout>
              <c:numFmt formatCode="General" sourceLinked="0"/>
            </c:trendlineLbl>
          </c:trendline>
          <c:xVal>
            <c:numRef>
              <c:f>'ADC readings'!$A$15:$A$21</c:f>
              <c:numCache>
                <c:formatCode>General</c:formatCode>
                <c:ptCount val="7"/>
                <c:pt idx="0">
                  <c:v>0</c:v>
                </c:pt>
                <c:pt idx="1">
                  <c:v>10</c:v>
                </c:pt>
                <c:pt idx="2">
                  <c:v>30</c:v>
                </c:pt>
                <c:pt idx="3">
                  <c:v>50</c:v>
                </c:pt>
                <c:pt idx="4">
                  <c:v>70</c:v>
                </c:pt>
                <c:pt idx="5">
                  <c:v>90</c:v>
                </c:pt>
                <c:pt idx="6">
                  <c:v>110</c:v>
                </c:pt>
              </c:numCache>
            </c:numRef>
          </c:xVal>
          <c:yVal>
            <c:numRef>
              <c:f>'ADC readings'!$B$15:$B$21</c:f>
              <c:numCache>
                <c:formatCode>General</c:formatCode>
                <c:ptCount val="7"/>
                <c:pt idx="0">
                  <c:v>1840</c:v>
                </c:pt>
                <c:pt idx="2">
                  <c:v>1565</c:v>
                </c:pt>
                <c:pt idx="3">
                  <c:v>1338</c:v>
                </c:pt>
                <c:pt idx="4">
                  <c:v>945</c:v>
                </c:pt>
                <c:pt idx="5">
                  <c:v>575</c:v>
                </c:pt>
                <c:pt idx="6">
                  <c:v>0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'ADC readings'!$C$14</c:f>
              <c:strCache>
                <c:ptCount val="1"/>
                <c:pt idx="0">
                  <c:v>13V</c:v>
                </c:pt>
              </c:strCache>
            </c:strRef>
          </c:tx>
          <c:trendline>
            <c:trendlineType val="poly"/>
            <c:order val="2"/>
            <c:dispRSqr val="0"/>
            <c:dispEq val="1"/>
            <c:trendlineLbl>
              <c:layout>
                <c:manualLayout>
                  <c:x val="8.6118192471371882E-2"/>
                  <c:y val="-0.57978197169798218"/>
                </c:manualLayout>
              </c:layout>
              <c:numFmt formatCode="General" sourceLinked="0"/>
            </c:trendlineLbl>
          </c:trendline>
          <c:xVal>
            <c:numRef>
              <c:f>'ADC readings'!$A$15:$A$21</c:f>
              <c:numCache>
                <c:formatCode>General</c:formatCode>
                <c:ptCount val="7"/>
                <c:pt idx="0">
                  <c:v>0</c:v>
                </c:pt>
                <c:pt idx="1">
                  <c:v>10</c:v>
                </c:pt>
                <c:pt idx="2">
                  <c:v>30</c:v>
                </c:pt>
                <c:pt idx="3">
                  <c:v>50</c:v>
                </c:pt>
                <c:pt idx="4">
                  <c:v>70</c:v>
                </c:pt>
                <c:pt idx="5">
                  <c:v>90</c:v>
                </c:pt>
                <c:pt idx="6">
                  <c:v>110</c:v>
                </c:pt>
              </c:numCache>
            </c:numRef>
          </c:xVal>
          <c:yVal>
            <c:numRef>
              <c:f>'ADC readings'!$C$15:$C$21</c:f>
              <c:numCache>
                <c:formatCode>General</c:formatCode>
                <c:ptCount val="7"/>
                <c:pt idx="0">
                  <c:v>1709</c:v>
                </c:pt>
                <c:pt idx="2">
                  <c:v>1433</c:v>
                </c:pt>
                <c:pt idx="3">
                  <c:v>1205</c:v>
                </c:pt>
                <c:pt idx="4">
                  <c:v>840</c:v>
                </c:pt>
                <c:pt idx="5">
                  <c:v>527</c:v>
                </c:pt>
                <c:pt idx="6">
                  <c:v>0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'ADC readings'!$D$14</c:f>
              <c:strCache>
                <c:ptCount val="1"/>
                <c:pt idx="0">
                  <c:v>12V</c:v>
                </c:pt>
              </c:strCache>
            </c:strRef>
          </c:tx>
          <c:trendline>
            <c:trendlineType val="poly"/>
            <c:order val="2"/>
            <c:dispRSqr val="0"/>
            <c:dispEq val="1"/>
            <c:trendlineLbl>
              <c:layout>
                <c:manualLayout>
                  <c:x val="8.3942387423504183E-2"/>
                  <c:y val="-0.49439236762071409"/>
                </c:manualLayout>
              </c:layout>
              <c:numFmt formatCode="General" sourceLinked="0"/>
            </c:trendlineLbl>
          </c:trendline>
          <c:xVal>
            <c:numRef>
              <c:f>'ADC readings'!$A$15:$A$21</c:f>
              <c:numCache>
                <c:formatCode>General</c:formatCode>
                <c:ptCount val="7"/>
                <c:pt idx="0">
                  <c:v>0</c:v>
                </c:pt>
                <c:pt idx="1">
                  <c:v>10</c:v>
                </c:pt>
                <c:pt idx="2">
                  <c:v>30</c:v>
                </c:pt>
                <c:pt idx="3">
                  <c:v>50</c:v>
                </c:pt>
                <c:pt idx="4">
                  <c:v>70</c:v>
                </c:pt>
                <c:pt idx="5">
                  <c:v>90</c:v>
                </c:pt>
                <c:pt idx="6">
                  <c:v>110</c:v>
                </c:pt>
              </c:numCache>
            </c:numRef>
          </c:xVal>
          <c:yVal>
            <c:numRef>
              <c:f>'ADC readings'!$D$15:$D$21</c:f>
              <c:numCache>
                <c:formatCode>General</c:formatCode>
                <c:ptCount val="7"/>
                <c:pt idx="0">
                  <c:v>1561</c:v>
                </c:pt>
                <c:pt idx="2">
                  <c:v>1256</c:v>
                </c:pt>
                <c:pt idx="3">
                  <c:v>1046</c:v>
                </c:pt>
                <c:pt idx="4">
                  <c:v>730</c:v>
                </c:pt>
                <c:pt idx="5">
                  <c:v>419</c:v>
                </c:pt>
                <c:pt idx="6">
                  <c:v>0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'ADC readings'!$E$14</c:f>
              <c:strCache>
                <c:ptCount val="1"/>
                <c:pt idx="0">
                  <c:v>10V</c:v>
                </c:pt>
              </c:strCache>
            </c:strRef>
          </c:tx>
          <c:trendline>
            <c:trendlineType val="poly"/>
            <c:order val="2"/>
            <c:dispRSqr val="0"/>
            <c:dispEq val="1"/>
            <c:trendlineLbl>
              <c:layout>
                <c:manualLayout>
                  <c:x val="7.8296258985903519E-2"/>
                  <c:y val="-0.41733061145134637"/>
                </c:manualLayout>
              </c:layout>
              <c:numFmt formatCode="General" sourceLinked="0"/>
            </c:trendlineLbl>
          </c:trendline>
          <c:xVal>
            <c:numRef>
              <c:f>'ADC readings'!$A$15:$A$21</c:f>
              <c:numCache>
                <c:formatCode>General</c:formatCode>
                <c:ptCount val="7"/>
                <c:pt idx="0">
                  <c:v>0</c:v>
                </c:pt>
                <c:pt idx="1">
                  <c:v>10</c:v>
                </c:pt>
                <c:pt idx="2">
                  <c:v>30</c:v>
                </c:pt>
                <c:pt idx="3">
                  <c:v>50</c:v>
                </c:pt>
                <c:pt idx="4">
                  <c:v>70</c:v>
                </c:pt>
                <c:pt idx="5">
                  <c:v>90</c:v>
                </c:pt>
                <c:pt idx="6">
                  <c:v>110</c:v>
                </c:pt>
              </c:numCache>
            </c:numRef>
          </c:xVal>
          <c:yVal>
            <c:numRef>
              <c:f>'ADC readings'!$E$15:$E$21</c:f>
              <c:numCache>
                <c:formatCode>General</c:formatCode>
                <c:ptCount val="7"/>
                <c:pt idx="0">
                  <c:v>1264</c:v>
                </c:pt>
                <c:pt idx="2">
                  <c:v>1030</c:v>
                </c:pt>
                <c:pt idx="3">
                  <c:v>831</c:v>
                </c:pt>
                <c:pt idx="4">
                  <c:v>527</c:v>
                </c:pt>
                <c:pt idx="5">
                  <c:v>299</c:v>
                </c:pt>
                <c:pt idx="6">
                  <c:v>0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099456"/>
        <c:axId val="62100992"/>
      </c:scatterChart>
      <c:valAx>
        <c:axId val="620994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62100992"/>
        <c:crosses val="autoZero"/>
        <c:crossBetween val="midCat"/>
      </c:valAx>
      <c:valAx>
        <c:axId val="62100992"/>
        <c:scaling>
          <c:orientation val="minMax"/>
          <c:min val="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62099456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9.8045715891257712E-2"/>
          <c:y val="0.64859698093293894"/>
          <c:w val="0.40635660588118389"/>
          <c:h val="0.22992271799358413"/>
        </c:manualLayout>
      </c:layout>
      <c:overlay val="1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'ADC readings'!$F$14</c:f>
              <c:strCache>
                <c:ptCount val="1"/>
                <c:pt idx="0">
                  <c:v>Fuel</c:v>
                </c:pt>
              </c:strCache>
            </c:strRef>
          </c:tx>
          <c:trendline>
            <c:trendlineType val="poly"/>
            <c:order val="2"/>
            <c:dispRSqr val="0"/>
            <c:dispEq val="1"/>
            <c:trendlineLbl>
              <c:layout>
                <c:manualLayout>
                  <c:x val="-0.11977799650043744"/>
                  <c:y val="-2.9705611122933958E-2"/>
                </c:manualLayout>
              </c:layout>
              <c:numFmt formatCode="General" sourceLinked="0"/>
            </c:trendlineLbl>
          </c:trendline>
          <c:xVal>
            <c:numRef>
              <c:f>'ADC readings'!$B$15:$B$21</c:f>
              <c:numCache>
                <c:formatCode>General</c:formatCode>
                <c:ptCount val="7"/>
                <c:pt idx="0">
                  <c:v>1840</c:v>
                </c:pt>
                <c:pt idx="2">
                  <c:v>1565</c:v>
                </c:pt>
                <c:pt idx="3">
                  <c:v>1338</c:v>
                </c:pt>
                <c:pt idx="4">
                  <c:v>945</c:v>
                </c:pt>
                <c:pt idx="5">
                  <c:v>575</c:v>
                </c:pt>
                <c:pt idx="6">
                  <c:v>0</c:v>
                </c:pt>
              </c:numCache>
            </c:numRef>
          </c:xVal>
          <c:yVal>
            <c:numRef>
              <c:f>'ADC readings'!$F$15:$F$21</c:f>
              <c:numCache>
                <c:formatCode>General</c:formatCode>
                <c:ptCount val="7"/>
                <c:pt idx="0">
                  <c:v>0</c:v>
                </c:pt>
                <c:pt idx="1">
                  <c:v>10</c:v>
                </c:pt>
                <c:pt idx="2">
                  <c:v>30</c:v>
                </c:pt>
                <c:pt idx="3">
                  <c:v>50</c:v>
                </c:pt>
                <c:pt idx="4">
                  <c:v>70</c:v>
                </c:pt>
                <c:pt idx="5">
                  <c:v>90</c:v>
                </c:pt>
                <c:pt idx="6">
                  <c:v>110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109568"/>
        <c:axId val="62111104"/>
      </c:scatterChart>
      <c:valAx>
        <c:axId val="621095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62111104"/>
        <c:crosses val="autoZero"/>
        <c:crossBetween val="midCat"/>
      </c:valAx>
      <c:valAx>
        <c:axId val="6211110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62109568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'ADC readings'!$C$34</c:f>
              <c:strCache>
                <c:ptCount val="1"/>
                <c:pt idx="0">
                  <c:v>Temp</c:v>
                </c:pt>
              </c:strCache>
            </c:strRef>
          </c:tx>
          <c:trendline>
            <c:trendlineType val="poly"/>
            <c:order val="2"/>
            <c:dispRSqr val="0"/>
            <c:dispEq val="1"/>
            <c:trendlineLbl>
              <c:layout>
                <c:manualLayout>
                  <c:x val="-0.2015605861767279"/>
                  <c:y val="-0.14178659959171772"/>
                </c:manualLayout>
              </c:layout>
              <c:numFmt formatCode="@" sourceLinked="0"/>
            </c:trendlineLbl>
          </c:trendline>
          <c:xVal>
            <c:numRef>
              <c:f>'ADC readings'!$B$35:$B$39</c:f>
              <c:numCache>
                <c:formatCode>General</c:formatCode>
                <c:ptCount val="5"/>
                <c:pt idx="0">
                  <c:v>2433</c:v>
                </c:pt>
                <c:pt idx="1">
                  <c:v>2194</c:v>
                </c:pt>
                <c:pt idx="2">
                  <c:v>1904</c:v>
                </c:pt>
                <c:pt idx="3">
                  <c:v>1460</c:v>
                </c:pt>
                <c:pt idx="4">
                  <c:v>1083</c:v>
                </c:pt>
              </c:numCache>
            </c:numRef>
          </c:xVal>
          <c:yVal>
            <c:numRef>
              <c:f>'ADC readings'!$C$35:$C$39</c:f>
              <c:numCache>
                <c:formatCode>General</c:formatCode>
                <c:ptCount val="5"/>
                <c:pt idx="0">
                  <c:v>40</c:v>
                </c:pt>
                <c:pt idx="1">
                  <c:v>60</c:v>
                </c:pt>
                <c:pt idx="2">
                  <c:v>80</c:v>
                </c:pt>
                <c:pt idx="3">
                  <c:v>110</c:v>
                </c:pt>
                <c:pt idx="4">
                  <c:v>130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132224"/>
        <c:axId val="62133760"/>
      </c:scatterChart>
      <c:valAx>
        <c:axId val="62132224"/>
        <c:scaling>
          <c:orientation val="minMax"/>
          <c:max val="2500"/>
          <c:min val="1000"/>
        </c:scaling>
        <c:delete val="0"/>
        <c:axPos val="b"/>
        <c:numFmt formatCode="General" sourceLinked="1"/>
        <c:majorTickMark val="out"/>
        <c:minorTickMark val="none"/>
        <c:tickLblPos val="nextTo"/>
        <c:crossAx val="62133760"/>
        <c:crosses val="autoZero"/>
        <c:crossBetween val="midCat"/>
      </c:valAx>
      <c:valAx>
        <c:axId val="62133760"/>
        <c:scaling>
          <c:orientation val="minMax"/>
          <c:max val="140"/>
          <c:min val="3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62132224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'ADC readings'!$C$49</c:f>
              <c:strCache>
                <c:ptCount val="1"/>
                <c:pt idx="0">
                  <c:v>F press</c:v>
                </c:pt>
              </c:strCache>
            </c:strRef>
          </c:tx>
          <c:trendline>
            <c:trendlineType val="log"/>
            <c:dispRSqr val="0"/>
            <c:dispEq val="1"/>
            <c:trendlineLbl>
              <c:layout>
                <c:manualLayout>
                  <c:x val="2.5744313210848645E-2"/>
                  <c:y val="-3.5225226476320093E-2"/>
                </c:manualLayout>
              </c:layout>
              <c:numFmt formatCode="@" sourceLinked="0"/>
            </c:trendlineLbl>
          </c:trendline>
          <c:trendline>
            <c:trendlineType val="poly"/>
            <c:order val="2"/>
            <c:dispRSqr val="0"/>
            <c:dispEq val="1"/>
            <c:trendlineLbl>
              <c:layout>
                <c:manualLayout>
                  <c:x val="-0.13650021872265966"/>
                  <c:y val="-6.5066866641669788E-2"/>
                </c:manualLayout>
              </c:layout>
              <c:numFmt formatCode="@" sourceLinked="0"/>
            </c:trendlineLbl>
          </c:trendline>
          <c:xVal>
            <c:numRef>
              <c:f>'ADC readings'!$B$50:$B$54</c:f>
              <c:numCache>
                <c:formatCode>General</c:formatCode>
                <c:ptCount val="5"/>
                <c:pt idx="0">
                  <c:v>1757</c:v>
                </c:pt>
                <c:pt idx="1">
                  <c:v>1583</c:v>
                </c:pt>
                <c:pt idx="2">
                  <c:v>1278</c:v>
                </c:pt>
                <c:pt idx="3">
                  <c:v>755</c:v>
                </c:pt>
                <c:pt idx="4">
                  <c:v>0</c:v>
                </c:pt>
              </c:numCache>
            </c:numRef>
          </c:xVal>
          <c:yVal>
            <c:numRef>
              <c:f>'ADC readings'!$C$50:$C$54</c:f>
              <c:numCache>
                <c:formatCode>General</c:formatCode>
                <c:ptCount val="5"/>
                <c:pt idx="0">
                  <c:v>0</c:v>
                </c:pt>
                <c:pt idx="1">
                  <c:v>50</c:v>
                </c:pt>
                <c:pt idx="2">
                  <c:v>150</c:v>
                </c:pt>
                <c:pt idx="3">
                  <c:v>250</c:v>
                </c:pt>
                <c:pt idx="4">
                  <c:v>350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155392"/>
        <c:axId val="62161280"/>
      </c:scatterChart>
      <c:valAx>
        <c:axId val="621553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62161280"/>
        <c:crosses val="autoZero"/>
        <c:crossBetween val="midCat"/>
      </c:valAx>
      <c:valAx>
        <c:axId val="6216128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62155392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'ADC readings'!$C$64</c:f>
              <c:strCache>
                <c:ptCount val="1"/>
                <c:pt idx="0">
                  <c:v>O Press</c:v>
                </c:pt>
              </c:strCache>
            </c:strRef>
          </c:tx>
          <c:trendline>
            <c:trendlineType val="poly"/>
            <c:order val="3"/>
            <c:dispRSqr val="0"/>
            <c:dispEq val="1"/>
            <c:trendlineLbl>
              <c:layout>
                <c:manualLayout>
                  <c:x val="2.9028215223097113E-2"/>
                  <c:y val="-4.7167906095071446E-2"/>
                </c:manualLayout>
              </c:layout>
              <c:numFmt formatCode="@" sourceLinked="0"/>
            </c:trendlineLbl>
          </c:trendline>
          <c:xVal>
            <c:numRef>
              <c:f>'ADC readings'!$B$65:$B$71</c:f>
              <c:numCache>
                <c:formatCode>General</c:formatCode>
                <c:ptCount val="7"/>
                <c:pt idx="0">
                  <c:v>1788</c:v>
                </c:pt>
                <c:pt idx="1">
                  <c:v>1618</c:v>
                </c:pt>
                <c:pt idx="2">
                  <c:v>1420</c:v>
                </c:pt>
                <c:pt idx="3">
                  <c:v>1170</c:v>
                </c:pt>
                <c:pt idx="4">
                  <c:v>855</c:v>
                </c:pt>
                <c:pt idx="5">
                  <c:v>407</c:v>
                </c:pt>
                <c:pt idx="6">
                  <c:v>0</c:v>
                </c:pt>
              </c:numCache>
            </c:numRef>
          </c:xVal>
          <c:yVal>
            <c:numRef>
              <c:f>'ADC readings'!$C$65:$C$71</c:f>
              <c:numCache>
                <c:formatCode>General</c:formatCode>
                <c:ptCount val="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173952"/>
        <c:axId val="62175488"/>
      </c:scatterChart>
      <c:valAx>
        <c:axId val="621739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62175488"/>
        <c:crosses val="autoZero"/>
        <c:crossBetween val="midCat"/>
      </c:valAx>
      <c:valAx>
        <c:axId val="6217548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62173952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'ADC readings'!$C$78</c:f>
              <c:strCache>
                <c:ptCount val="1"/>
                <c:pt idx="0">
                  <c:v>AMP</c:v>
                </c:pt>
              </c:strCache>
            </c:strRef>
          </c:tx>
          <c:trendline>
            <c:trendlineType val="linear"/>
            <c:dispRSqr val="0"/>
            <c:dispEq val="1"/>
            <c:trendlineLbl>
              <c:layout/>
              <c:numFmt formatCode="General" sourceLinked="0"/>
            </c:trendlineLbl>
          </c:trendline>
          <c:xVal>
            <c:numRef>
              <c:f>'ADC readings'!$B$79:$B$86</c:f>
              <c:numCache>
                <c:formatCode>General</c:formatCode>
                <c:ptCount val="8"/>
                <c:pt idx="0">
                  <c:v>-95</c:v>
                </c:pt>
                <c:pt idx="1">
                  <c:v>-63.9</c:v>
                </c:pt>
                <c:pt idx="2">
                  <c:v>-32</c:v>
                </c:pt>
                <c:pt idx="3">
                  <c:v>0</c:v>
                </c:pt>
                <c:pt idx="4">
                  <c:v>33.799999999999997</c:v>
                </c:pt>
                <c:pt idx="5">
                  <c:v>68</c:v>
                </c:pt>
                <c:pt idx="6">
                  <c:v>99</c:v>
                </c:pt>
                <c:pt idx="7">
                  <c:v>132.5</c:v>
                </c:pt>
              </c:numCache>
            </c:numRef>
          </c:xVal>
          <c:yVal>
            <c:numRef>
              <c:f>'ADC readings'!$C$79:$C$86</c:f>
              <c:numCache>
                <c:formatCode>General</c:formatCode>
                <c:ptCount val="8"/>
                <c:pt idx="0">
                  <c:v>-3</c:v>
                </c:pt>
                <c:pt idx="1">
                  <c:v>-2</c:v>
                </c:pt>
                <c:pt idx="2">
                  <c:v>-1</c:v>
                </c:pt>
                <c:pt idx="3">
                  <c:v>0</c:v>
                </c:pt>
                <c:pt idx="4">
                  <c:v>1</c:v>
                </c:pt>
                <c:pt idx="5">
                  <c:v>2</c:v>
                </c:pt>
                <c:pt idx="6">
                  <c:v>3</c:v>
                </c:pt>
                <c:pt idx="7">
                  <c:v>4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8356480"/>
        <c:axId val="148354560"/>
      </c:scatterChart>
      <c:valAx>
        <c:axId val="1483564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48354560"/>
        <c:crosses val="autoZero"/>
        <c:crossBetween val="midCat"/>
      </c:valAx>
      <c:valAx>
        <c:axId val="14835456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48356480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3.xml"/><Relationship Id="rId3" Type="http://schemas.openxmlformats.org/officeDocument/2006/relationships/chart" Target="../charts/chart8.xml"/><Relationship Id="rId7" Type="http://schemas.openxmlformats.org/officeDocument/2006/relationships/chart" Target="../charts/chart12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6" Type="http://schemas.openxmlformats.org/officeDocument/2006/relationships/chart" Target="../charts/chart11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129540</xdr:colOff>
      <xdr:row>0</xdr:row>
      <xdr:rowOff>87630</xdr:rowOff>
    </xdr:from>
    <xdr:to>
      <xdr:col>13</xdr:col>
      <xdr:colOff>434340</xdr:colOff>
      <xdr:row>12</xdr:row>
      <xdr:rowOff>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167640</xdr:colOff>
      <xdr:row>13</xdr:row>
      <xdr:rowOff>41910</xdr:rowOff>
    </xdr:from>
    <xdr:to>
      <xdr:col>14</xdr:col>
      <xdr:colOff>472440</xdr:colOff>
      <xdr:row>26</xdr:row>
      <xdr:rowOff>7620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175260</xdr:colOff>
      <xdr:row>27</xdr:row>
      <xdr:rowOff>34290</xdr:rowOff>
    </xdr:from>
    <xdr:to>
      <xdr:col>14</xdr:col>
      <xdr:colOff>480060</xdr:colOff>
      <xdr:row>39</xdr:row>
      <xdr:rowOff>99060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198120</xdr:colOff>
      <xdr:row>43</xdr:row>
      <xdr:rowOff>19050</xdr:rowOff>
    </xdr:from>
    <xdr:to>
      <xdr:col>14</xdr:col>
      <xdr:colOff>502920</xdr:colOff>
      <xdr:row>54</xdr:row>
      <xdr:rowOff>167640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365760</xdr:colOff>
      <xdr:row>0</xdr:row>
      <xdr:rowOff>133350</xdr:rowOff>
    </xdr:from>
    <xdr:to>
      <xdr:col>20</xdr:col>
      <xdr:colOff>60960</xdr:colOff>
      <xdr:row>15</xdr:row>
      <xdr:rowOff>133350</xdr:rowOff>
    </xdr:to>
    <xdr:graphicFrame macro="">
      <xdr:nvGraphicFramePr>
        <xdr:cNvPr id="10" name="Chart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274320</xdr:colOff>
      <xdr:row>1</xdr:row>
      <xdr:rowOff>3810</xdr:rowOff>
    </xdr:from>
    <xdr:to>
      <xdr:col>9</xdr:col>
      <xdr:colOff>152400</xdr:colOff>
      <xdr:row>10</xdr:row>
      <xdr:rowOff>167640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327660</xdr:colOff>
      <xdr:row>1</xdr:row>
      <xdr:rowOff>3810</xdr:rowOff>
    </xdr:from>
    <xdr:to>
      <xdr:col>14</xdr:col>
      <xdr:colOff>518160</xdr:colOff>
      <xdr:row>10</xdr:row>
      <xdr:rowOff>175260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76200</xdr:colOff>
      <xdr:row>11</xdr:row>
      <xdr:rowOff>118110</xdr:rowOff>
    </xdr:from>
    <xdr:to>
      <xdr:col>19</xdr:col>
      <xdr:colOff>426720</xdr:colOff>
      <xdr:row>31</xdr:row>
      <xdr:rowOff>60960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19</xdr:col>
      <xdr:colOff>480060</xdr:colOff>
      <xdr:row>11</xdr:row>
      <xdr:rowOff>156210</xdr:rowOff>
    </xdr:from>
    <xdr:to>
      <xdr:col>27</xdr:col>
      <xdr:colOff>175260</xdr:colOff>
      <xdr:row>31</xdr:row>
      <xdr:rowOff>22860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10</xdr:col>
      <xdr:colOff>76200</xdr:colOff>
      <xdr:row>32</xdr:row>
      <xdr:rowOff>11430</xdr:rowOff>
    </xdr:from>
    <xdr:to>
      <xdr:col>17</xdr:col>
      <xdr:colOff>381000</xdr:colOff>
      <xdr:row>47</xdr:row>
      <xdr:rowOff>11430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10</xdr:col>
      <xdr:colOff>22860</xdr:colOff>
      <xdr:row>48</xdr:row>
      <xdr:rowOff>38100</xdr:rowOff>
    </xdr:from>
    <xdr:to>
      <xdr:col>17</xdr:col>
      <xdr:colOff>327660</xdr:colOff>
      <xdr:row>59</xdr:row>
      <xdr:rowOff>163830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10</xdr:col>
      <xdr:colOff>22860</xdr:colOff>
      <xdr:row>60</xdr:row>
      <xdr:rowOff>148590</xdr:rowOff>
    </xdr:from>
    <xdr:to>
      <xdr:col>17</xdr:col>
      <xdr:colOff>327660</xdr:colOff>
      <xdr:row>75</xdr:row>
      <xdr:rowOff>148590</xdr:rowOff>
    </xdr:to>
    <xdr:graphicFrame macro="">
      <xdr:nvGraphicFramePr>
        <xdr:cNvPr id="9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9</xdr:col>
      <xdr:colOff>335280</xdr:colOff>
      <xdr:row>76</xdr:row>
      <xdr:rowOff>95250</xdr:rowOff>
    </xdr:from>
    <xdr:to>
      <xdr:col>17</xdr:col>
      <xdr:colOff>30480</xdr:colOff>
      <xdr:row>91</xdr:row>
      <xdr:rowOff>95250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54"/>
  <sheetViews>
    <sheetView topLeftCell="A7" workbookViewId="0">
      <selection activeCell="B12" sqref="B12:B17"/>
    </sheetView>
  </sheetViews>
  <sheetFormatPr defaultRowHeight="14.4" x14ac:dyDescent="0.3"/>
  <cols>
    <col min="2" max="3" width="8.88671875" style="2"/>
    <col min="5" max="5" width="5.5546875" bestFit="1" customWidth="1"/>
  </cols>
  <sheetData>
    <row r="2" spans="1:6" x14ac:dyDescent="0.3">
      <c r="A2" t="s">
        <v>9</v>
      </c>
      <c r="B2" s="2" t="s">
        <v>1</v>
      </c>
      <c r="C2" s="2" t="s">
        <v>0</v>
      </c>
    </row>
    <row r="3" spans="1:6" x14ac:dyDescent="0.3">
      <c r="A3">
        <v>810</v>
      </c>
      <c r="B3" s="2">
        <v>0</v>
      </c>
      <c r="C3" s="3">
        <v>7.25</v>
      </c>
      <c r="E3" t="s">
        <v>5</v>
      </c>
      <c r="F3">
        <v>39</v>
      </c>
    </row>
    <row r="4" spans="1:6" x14ac:dyDescent="0.3">
      <c r="A4">
        <v>758</v>
      </c>
      <c r="B4" s="2">
        <v>10</v>
      </c>
      <c r="C4" s="3">
        <v>6.77</v>
      </c>
      <c r="E4" t="s">
        <v>6</v>
      </c>
      <c r="F4">
        <v>63</v>
      </c>
    </row>
    <row r="5" spans="1:6" x14ac:dyDescent="0.3">
      <c r="A5">
        <v>672</v>
      </c>
      <c r="B5" s="2">
        <v>30</v>
      </c>
      <c r="C5" s="3">
        <v>5.98</v>
      </c>
      <c r="E5" t="s">
        <v>7</v>
      </c>
      <c r="F5" s="1">
        <f>F3/(F3+F4)</f>
        <v>0.38235294117647056</v>
      </c>
    </row>
    <row r="6" spans="1:6" x14ac:dyDescent="0.3">
      <c r="A6">
        <v>549</v>
      </c>
      <c r="B6" s="2">
        <v>50</v>
      </c>
      <c r="C6" s="3">
        <v>5</v>
      </c>
      <c r="E6" t="s">
        <v>8</v>
      </c>
      <c r="F6" s="1">
        <f>C3*F5</f>
        <v>2.7720588235294117</v>
      </c>
    </row>
    <row r="7" spans="1:6" x14ac:dyDescent="0.3">
      <c r="A7">
        <v>391</v>
      </c>
      <c r="B7" s="2">
        <v>70</v>
      </c>
      <c r="C7" s="3">
        <v>3.5</v>
      </c>
    </row>
    <row r="8" spans="1:6" x14ac:dyDescent="0.3">
      <c r="A8">
        <v>271</v>
      </c>
      <c r="B8" s="2">
        <v>90</v>
      </c>
      <c r="C8" s="3">
        <v>2.2999999999999998</v>
      </c>
    </row>
    <row r="9" spans="1:6" x14ac:dyDescent="0.3">
      <c r="A9">
        <v>65</v>
      </c>
      <c r="B9" s="2">
        <v>110</v>
      </c>
      <c r="C9" s="3">
        <v>0.5</v>
      </c>
    </row>
    <row r="12" spans="1:6" x14ac:dyDescent="0.3">
      <c r="B12" s="2" t="s">
        <v>2</v>
      </c>
      <c r="C12" s="2" t="s">
        <v>0</v>
      </c>
    </row>
    <row r="13" spans="1:6" x14ac:dyDescent="0.3">
      <c r="B13" s="2">
        <v>40</v>
      </c>
      <c r="C13" s="2">
        <v>9.15</v>
      </c>
    </row>
    <row r="14" spans="1:6" x14ac:dyDescent="0.3">
      <c r="B14" s="2">
        <v>60</v>
      </c>
      <c r="C14" s="2">
        <v>8.25</v>
      </c>
    </row>
    <row r="15" spans="1:6" x14ac:dyDescent="0.3">
      <c r="B15" s="2">
        <v>80</v>
      </c>
      <c r="C15" s="2">
        <v>7.09</v>
      </c>
    </row>
    <row r="16" spans="1:6" x14ac:dyDescent="0.3">
      <c r="B16" s="2">
        <v>110</v>
      </c>
      <c r="C16" s="2">
        <v>5.59</v>
      </c>
    </row>
    <row r="17" spans="2:3" x14ac:dyDescent="0.3">
      <c r="B17" s="2">
        <v>130</v>
      </c>
      <c r="C17" s="2">
        <v>4.3899999999999997</v>
      </c>
    </row>
    <row r="30" spans="2:3" x14ac:dyDescent="0.3">
      <c r="B30" s="2" t="s">
        <v>3</v>
      </c>
      <c r="C30" s="2" t="s">
        <v>0</v>
      </c>
    </row>
    <row r="31" spans="2:3" x14ac:dyDescent="0.3">
      <c r="B31" s="2">
        <v>0</v>
      </c>
      <c r="C31" s="2">
        <v>6.73</v>
      </c>
    </row>
    <row r="32" spans="2:3" x14ac:dyDescent="0.3">
      <c r="B32" s="2">
        <v>2</v>
      </c>
      <c r="C32" s="2">
        <v>5.4</v>
      </c>
    </row>
    <row r="33" spans="2:3" x14ac:dyDescent="0.3">
      <c r="B33" s="2">
        <v>4</v>
      </c>
      <c r="C33" s="2">
        <v>3.5</v>
      </c>
    </row>
    <row r="34" spans="2:3" x14ac:dyDescent="0.3">
      <c r="B34" s="2">
        <v>6</v>
      </c>
      <c r="C34" s="2">
        <v>0.5</v>
      </c>
    </row>
    <row r="46" spans="2:3" x14ac:dyDescent="0.3">
      <c r="B46" s="2" t="s">
        <v>4</v>
      </c>
      <c r="C46" s="2" t="s">
        <v>0</v>
      </c>
    </row>
    <row r="47" spans="2:3" x14ac:dyDescent="0.3">
      <c r="B47" s="2">
        <v>0</v>
      </c>
      <c r="C47" s="2">
        <v>6.6</v>
      </c>
    </row>
    <row r="48" spans="2:3" x14ac:dyDescent="0.3">
      <c r="B48" s="2">
        <v>50</v>
      </c>
      <c r="C48" s="2">
        <v>5.98</v>
      </c>
    </row>
    <row r="49" spans="2:3" x14ac:dyDescent="0.3">
      <c r="B49" s="2">
        <v>100</v>
      </c>
      <c r="C49" s="2">
        <v>5.48</v>
      </c>
    </row>
    <row r="50" spans="2:3" x14ac:dyDescent="0.3">
      <c r="B50" s="2">
        <v>150</v>
      </c>
      <c r="C50" s="2">
        <v>4.9000000000000004</v>
      </c>
    </row>
    <row r="51" spans="2:3" x14ac:dyDescent="0.3">
      <c r="B51" s="2">
        <v>200</v>
      </c>
      <c r="C51" s="2">
        <v>4.1500000000000004</v>
      </c>
    </row>
    <row r="52" spans="2:3" x14ac:dyDescent="0.3">
      <c r="B52" s="2">
        <v>250</v>
      </c>
      <c r="C52" s="2">
        <v>3.03</v>
      </c>
    </row>
    <row r="53" spans="2:3" x14ac:dyDescent="0.3">
      <c r="B53" s="2">
        <v>300</v>
      </c>
      <c r="C53" s="2">
        <v>1.78</v>
      </c>
    </row>
    <row r="54" spans="2:3" x14ac:dyDescent="0.3">
      <c r="B54" s="2">
        <v>350</v>
      </c>
      <c r="C54" s="2">
        <v>0.4</v>
      </c>
    </row>
  </sheetData>
  <pageMargins left="0.7" right="0.7" top="0.75" bottom="0.75" header="0.3" footer="0.3"/>
  <pageSetup paperSize="9"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86"/>
  <sheetViews>
    <sheetView tabSelected="1" topLeftCell="A67" workbookViewId="0">
      <selection activeCell="C86" sqref="B78:C86"/>
    </sheetView>
  </sheetViews>
  <sheetFormatPr defaultRowHeight="14.4" x14ac:dyDescent="0.3"/>
  <cols>
    <col min="1" max="1" width="11" style="2" bestFit="1" customWidth="1"/>
    <col min="2" max="2" width="5" style="2" bestFit="1" customWidth="1"/>
    <col min="3" max="3" width="7" style="2" bestFit="1" customWidth="1"/>
    <col min="4" max="4" width="6.6640625" style="2" bestFit="1" customWidth="1"/>
    <col min="5" max="5" width="5.6640625" style="2" bestFit="1" customWidth="1"/>
  </cols>
  <sheetData>
    <row r="2" spans="1:9" x14ac:dyDescent="0.3">
      <c r="A2" s="2" t="s">
        <v>10</v>
      </c>
      <c r="B2" s="2" t="s">
        <v>9</v>
      </c>
      <c r="C2" s="2" t="s">
        <v>11</v>
      </c>
    </row>
    <row r="3" spans="1:9" x14ac:dyDescent="0.3">
      <c r="A3" s="4">
        <v>9</v>
      </c>
      <c r="B3" s="2">
        <v>1853</v>
      </c>
      <c r="C3" s="4">
        <f>A3</f>
        <v>9</v>
      </c>
    </row>
    <row r="4" spans="1:9" x14ac:dyDescent="0.3">
      <c r="A4" s="4">
        <v>10</v>
      </c>
      <c r="B4" s="2">
        <v>2085</v>
      </c>
      <c r="C4" s="4">
        <f t="shared" ref="C4:C9" si="0">A4</f>
        <v>10</v>
      </c>
    </row>
    <row r="5" spans="1:9" x14ac:dyDescent="0.3">
      <c r="A5" s="4">
        <v>11</v>
      </c>
      <c r="B5" s="2">
        <v>2306</v>
      </c>
      <c r="C5" s="4">
        <f t="shared" si="0"/>
        <v>11</v>
      </c>
    </row>
    <row r="6" spans="1:9" x14ac:dyDescent="0.3">
      <c r="A6" s="4">
        <v>12</v>
      </c>
      <c r="B6" s="2">
        <v>2511</v>
      </c>
      <c r="C6" s="4">
        <f t="shared" si="0"/>
        <v>12</v>
      </c>
    </row>
    <row r="7" spans="1:9" x14ac:dyDescent="0.3">
      <c r="A7" s="4">
        <v>13</v>
      </c>
      <c r="B7" s="2">
        <v>2744</v>
      </c>
      <c r="C7" s="4">
        <f t="shared" si="0"/>
        <v>13</v>
      </c>
    </row>
    <row r="8" spans="1:9" x14ac:dyDescent="0.3">
      <c r="A8" s="4">
        <v>14</v>
      </c>
      <c r="B8" s="2">
        <v>2990</v>
      </c>
      <c r="C8" s="4">
        <f t="shared" si="0"/>
        <v>14</v>
      </c>
    </row>
    <row r="9" spans="1:9" x14ac:dyDescent="0.3">
      <c r="A9" s="4">
        <v>15</v>
      </c>
      <c r="B9" s="2">
        <v>3254</v>
      </c>
      <c r="C9" s="4">
        <f t="shared" si="0"/>
        <v>15</v>
      </c>
    </row>
    <row r="14" spans="1:9" x14ac:dyDescent="0.3">
      <c r="A14" s="2" t="s">
        <v>1</v>
      </c>
      <c r="B14" s="2" t="s">
        <v>12</v>
      </c>
      <c r="C14" s="2" t="s">
        <v>14</v>
      </c>
      <c r="D14" s="2" t="s">
        <v>13</v>
      </c>
      <c r="E14" s="2" t="s">
        <v>15</v>
      </c>
      <c r="F14" s="2" t="s">
        <v>16</v>
      </c>
      <c r="G14" s="1">
        <v>0.9285714285714286</v>
      </c>
      <c r="H14" s="1">
        <f>12/13</f>
        <v>0.92307692307692313</v>
      </c>
      <c r="I14" s="1">
        <f>10/12</f>
        <v>0.83333333333333337</v>
      </c>
    </row>
    <row r="15" spans="1:9" x14ac:dyDescent="0.3">
      <c r="A15" s="2">
        <v>0</v>
      </c>
      <c r="B15" s="2">
        <v>1840</v>
      </c>
      <c r="C15" s="2">
        <v>1709</v>
      </c>
      <c r="D15" s="2">
        <v>1561</v>
      </c>
      <c r="E15" s="2">
        <v>1264</v>
      </c>
      <c r="F15" s="2">
        <v>0</v>
      </c>
      <c r="G15" s="1">
        <f>C15/B15</f>
        <v>0.92880434782608701</v>
      </c>
      <c r="H15" s="1">
        <f>D15/C15</f>
        <v>0.91339964891749559</v>
      </c>
      <c r="I15" s="1">
        <f>E15/D15</f>
        <v>0.8097373478539398</v>
      </c>
    </row>
    <row r="16" spans="1:9" x14ac:dyDescent="0.3">
      <c r="A16" s="2">
        <v>10</v>
      </c>
      <c r="F16">
        <v>10</v>
      </c>
      <c r="G16" s="1"/>
      <c r="H16" s="1"/>
      <c r="I16" s="1"/>
    </row>
    <row r="17" spans="1:9" x14ac:dyDescent="0.3">
      <c r="A17" s="2">
        <v>30</v>
      </c>
      <c r="B17" s="2">
        <v>1565</v>
      </c>
      <c r="C17" s="2">
        <v>1433</v>
      </c>
      <c r="D17" s="2">
        <v>1256</v>
      </c>
      <c r="E17" s="2">
        <v>1030</v>
      </c>
      <c r="F17" s="2">
        <v>30</v>
      </c>
      <c r="G17" s="1">
        <f t="shared" ref="G17:G20" si="1">C17/B17</f>
        <v>0.91565495207667735</v>
      </c>
      <c r="H17" s="1">
        <f t="shared" ref="H17:I20" si="2">D17/C17</f>
        <v>0.87648290300069787</v>
      </c>
      <c r="I17" s="1">
        <f t="shared" si="2"/>
        <v>0.82006369426751591</v>
      </c>
    </row>
    <row r="18" spans="1:9" x14ac:dyDescent="0.3">
      <c r="A18" s="2">
        <v>50</v>
      </c>
      <c r="B18" s="2">
        <v>1338</v>
      </c>
      <c r="C18" s="2">
        <v>1205</v>
      </c>
      <c r="D18" s="2">
        <v>1046</v>
      </c>
      <c r="E18" s="2">
        <v>831</v>
      </c>
      <c r="F18" s="2">
        <v>50</v>
      </c>
      <c r="G18" s="1">
        <f t="shared" si="1"/>
        <v>0.90059790732436473</v>
      </c>
      <c r="H18" s="1">
        <f t="shared" si="2"/>
        <v>0.86804979253112036</v>
      </c>
      <c r="I18" s="1">
        <f t="shared" si="2"/>
        <v>0.79445506692160617</v>
      </c>
    </row>
    <row r="19" spans="1:9" x14ac:dyDescent="0.3">
      <c r="A19" s="2">
        <v>70</v>
      </c>
      <c r="B19" s="2">
        <v>945</v>
      </c>
      <c r="C19" s="2">
        <v>840</v>
      </c>
      <c r="D19" s="2">
        <v>730</v>
      </c>
      <c r="E19" s="2">
        <v>527</v>
      </c>
      <c r="F19" s="2">
        <v>70</v>
      </c>
      <c r="G19" s="1">
        <f t="shared" si="1"/>
        <v>0.88888888888888884</v>
      </c>
      <c r="H19" s="1">
        <f t="shared" si="2"/>
        <v>0.86904761904761907</v>
      </c>
      <c r="I19" s="1">
        <f t="shared" si="2"/>
        <v>0.72191780821917806</v>
      </c>
    </row>
    <row r="20" spans="1:9" x14ac:dyDescent="0.3">
      <c r="A20" s="2">
        <v>90</v>
      </c>
      <c r="B20" s="2">
        <v>575</v>
      </c>
      <c r="C20" s="2">
        <v>527</v>
      </c>
      <c r="D20" s="2">
        <v>419</v>
      </c>
      <c r="E20" s="2">
        <v>299</v>
      </c>
      <c r="F20" s="2">
        <v>90</v>
      </c>
      <c r="G20" s="1">
        <f t="shared" si="1"/>
        <v>0.91652173913043478</v>
      </c>
      <c r="H20" s="1">
        <f t="shared" si="2"/>
        <v>0.79506641366223907</v>
      </c>
      <c r="I20" s="1">
        <f t="shared" si="2"/>
        <v>0.71360381861575184</v>
      </c>
    </row>
    <row r="21" spans="1:9" x14ac:dyDescent="0.3">
      <c r="A21" s="2">
        <v>110</v>
      </c>
      <c r="B21" s="2">
        <v>0</v>
      </c>
      <c r="C21" s="2">
        <v>0</v>
      </c>
      <c r="D21" s="2">
        <v>0</v>
      </c>
      <c r="E21" s="2">
        <v>0</v>
      </c>
      <c r="F21" s="2">
        <v>110</v>
      </c>
    </row>
    <row r="34" spans="1:6" x14ac:dyDescent="0.3">
      <c r="A34" s="2" t="s">
        <v>2</v>
      </c>
      <c r="B34" s="2" t="s">
        <v>12</v>
      </c>
      <c r="C34" s="2" t="s">
        <v>17</v>
      </c>
      <c r="D34" s="2" t="s">
        <v>18</v>
      </c>
    </row>
    <row r="35" spans="1:6" x14ac:dyDescent="0.3">
      <c r="A35" s="2">
        <v>40</v>
      </c>
      <c r="B35" s="2">
        <v>2433</v>
      </c>
      <c r="C35" s="2">
        <v>40</v>
      </c>
      <c r="D35" s="4">
        <f xml:space="preserve"> (-0.00001*B35*B35) - (0.0233*B35) + 169.87</f>
        <v>53.98621</v>
      </c>
      <c r="E35" s="2">
        <f>(-0.0000123148*B35*B35)-(0.023343981*B35)+169.867343</f>
        <v>40.174114089800014</v>
      </c>
      <c r="F35">
        <f xml:space="preserve"> -0.00001 * 1890 *1890 - 0.0233*1890 + 169.87</f>
        <v>90.111999999999995</v>
      </c>
    </row>
    <row r="36" spans="1:6" x14ac:dyDescent="0.3">
      <c r="A36" s="2">
        <v>60</v>
      </c>
      <c r="B36" s="2">
        <v>2194</v>
      </c>
      <c r="C36" s="2">
        <v>60</v>
      </c>
      <c r="D36" s="4">
        <f t="shared" ref="D36:D39" si="3" xml:space="preserve"> (-0.00001*B36*B36) - (0.0233*B36) + 169.87</f>
        <v>70.613439999999997</v>
      </c>
      <c r="E36" s="2">
        <f t="shared" ref="E36:E39" si="4">(-0.0000123148*B36*B36)-(0.023343981*B36)+169.867343</f>
        <v>59.371684073200001</v>
      </c>
    </row>
    <row r="37" spans="1:6" x14ac:dyDescent="0.3">
      <c r="A37" s="2">
        <v>80</v>
      </c>
      <c r="B37" s="2">
        <v>1904</v>
      </c>
      <c r="C37" s="2">
        <v>80</v>
      </c>
      <c r="D37" s="4">
        <f t="shared" si="3"/>
        <v>89.254639999999995</v>
      </c>
      <c r="E37" s="2">
        <f t="shared" si="4"/>
        <v>80.776593179200006</v>
      </c>
    </row>
    <row r="38" spans="1:6" x14ac:dyDescent="0.3">
      <c r="A38" s="2">
        <v>110</v>
      </c>
      <c r="B38" s="2">
        <v>1460</v>
      </c>
      <c r="C38" s="2">
        <v>110</v>
      </c>
      <c r="D38" s="4">
        <f t="shared" si="3"/>
        <v>114.536</v>
      </c>
      <c r="E38" s="2">
        <f t="shared" si="4"/>
        <v>109.53490306</v>
      </c>
    </row>
    <row r="39" spans="1:6" x14ac:dyDescent="0.3">
      <c r="A39" s="2">
        <v>130</v>
      </c>
      <c r="B39" s="2">
        <v>1083</v>
      </c>
      <c r="C39" s="2">
        <v>130</v>
      </c>
      <c r="D39" s="4">
        <f t="shared" si="3"/>
        <v>132.90720999999999</v>
      </c>
      <c r="E39" s="2">
        <f t="shared" si="4"/>
        <v>130.14191811980001</v>
      </c>
    </row>
    <row r="49" spans="2:4" x14ac:dyDescent="0.3">
      <c r="B49" s="2" t="s">
        <v>12</v>
      </c>
      <c r="C49" s="2" t="s">
        <v>19</v>
      </c>
    </row>
    <row r="50" spans="2:4" ht="16.2" x14ac:dyDescent="0.3">
      <c r="B50" s="2">
        <v>1757</v>
      </c>
      <c r="C50" s="2">
        <v>0</v>
      </c>
      <c r="D50" s="5">
        <f>-0.0000757167*B50*B50 - 0.064637454*B50 + 348.5776199</f>
        <v>1.2684502037000698</v>
      </c>
    </row>
    <row r="51" spans="2:4" x14ac:dyDescent="0.3">
      <c r="B51" s="2">
        <v>1583</v>
      </c>
      <c r="C51" s="2">
        <v>50</v>
      </c>
      <c r="D51" s="5">
        <f t="shared" ref="D51:D54" si="5">-0.0000757167*B51*B51 - 0.064637454*B51 + 348.5776199</f>
        <v>56.518884571700028</v>
      </c>
    </row>
    <row r="52" spans="2:4" x14ac:dyDescent="0.3">
      <c r="B52" s="2">
        <v>1278</v>
      </c>
      <c r="C52" s="2">
        <v>150</v>
      </c>
      <c r="D52" s="5">
        <f t="shared" si="5"/>
        <v>142.30407904520001</v>
      </c>
    </row>
    <row r="53" spans="2:4" x14ac:dyDescent="0.3">
      <c r="B53" s="2">
        <v>755</v>
      </c>
      <c r="C53" s="2">
        <v>250</v>
      </c>
      <c r="D53" s="5">
        <f t="shared" si="5"/>
        <v>256.61593021250002</v>
      </c>
    </row>
    <row r="54" spans="2:4" x14ac:dyDescent="0.3">
      <c r="B54" s="2">
        <v>0</v>
      </c>
      <c r="C54" s="2">
        <v>350</v>
      </c>
      <c r="D54" s="5">
        <f t="shared" si="5"/>
        <v>348.5776199</v>
      </c>
    </row>
    <row r="64" spans="2:4" x14ac:dyDescent="0.3">
      <c r="B64" s="2" t="s">
        <v>12</v>
      </c>
      <c r="C64" s="2" t="s">
        <v>20</v>
      </c>
    </row>
    <row r="65" spans="2:3" x14ac:dyDescent="0.3">
      <c r="B65" s="2">
        <v>1788</v>
      </c>
      <c r="C65" s="2">
        <v>0</v>
      </c>
    </row>
    <row r="66" spans="2:3" x14ac:dyDescent="0.3">
      <c r="B66" s="2">
        <v>1618</v>
      </c>
      <c r="C66" s="2">
        <v>1</v>
      </c>
    </row>
    <row r="67" spans="2:3" x14ac:dyDescent="0.3">
      <c r="B67" s="2">
        <v>1420</v>
      </c>
      <c r="C67" s="2">
        <v>2</v>
      </c>
    </row>
    <row r="68" spans="2:3" x14ac:dyDescent="0.3">
      <c r="B68" s="2">
        <v>1170</v>
      </c>
      <c r="C68" s="2">
        <v>3</v>
      </c>
    </row>
    <row r="69" spans="2:3" x14ac:dyDescent="0.3">
      <c r="B69" s="2">
        <v>855</v>
      </c>
      <c r="C69" s="2">
        <v>4</v>
      </c>
    </row>
    <row r="70" spans="2:3" x14ac:dyDescent="0.3">
      <c r="B70" s="2">
        <v>407</v>
      </c>
      <c r="C70" s="2">
        <v>5</v>
      </c>
    </row>
    <row r="71" spans="2:3" x14ac:dyDescent="0.3">
      <c r="B71" s="2">
        <v>0</v>
      </c>
      <c r="C71" s="2">
        <v>6</v>
      </c>
    </row>
    <row r="78" spans="2:3" x14ac:dyDescent="0.3">
      <c r="B78" s="2" t="s">
        <v>12</v>
      </c>
      <c r="C78" s="2" t="s">
        <v>21</v>
      </c>
    </row>
    <row r="79" spans="2:3" x14ac:dyDescent="0.3">
      <c r="B79" s="2">
        <v>-95</v>
      </c>
      <c r="C79" s="2">
        <v>-3</v>
      </c>
    </row>
    <row r="80" spans="2:3" x14ac:dyDescent="0.3">
      <c r="B80" s="2">
        <v>-63.9</v>
      </c>
      <c r="C80" s="2">
        <v>-2</v>
      </c>
    </row>
    <row r="81" spans="2:3" x14ac:dyDescent="0.3">
      <c r="B81" s="2">
        <v>-32</v>
      </c>
      <c r="C81" s="2">
        <v>-1</v>
      </c>
    </row>
    <row r="82" spans="2:3" x14ac:dyDescent="0.3">
      <c r="B82" s="2">
        <v>0</v>
      </c>
      <c r="C82" s="2">
        <v>0</v>
      </c>
    </row>
    <row r="83" spans="2:3" x14ac:dyDescent="0.3">
      <c r="B83" s="2">
        <v>33.799999999999997</v>
      </c>
      <c r="C83" s="2">
        <v>1</v>
      </c>
    </row>
    <row r="84" spans="2:3" x14ac:dyDescent="0.3">
      <c r="B84" s="2">
        <v>68</v>
      </c>
      <c r="C84" s="2">
        <v>2</v>
      </c>
    </row>
    <row r="85" spans="2:3" x14ac:dyDescent="0.3">
      <c r="B85" s="2">
        <v>99</v>
      </c>
      <c r="C85" s="2">
        <v>3</v>
      </c>
    </row>
    <row r="86" spans="2:3" x14ac:dyDescent="0.3">
      <c r="B86" s="2">
        <v>132.5</v>
      </c>
      <c r="C86" s="2">
        <v>4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Voltages</vt:lpstr>
      <vt:lpstr>ADC readings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Cross</dc:creator>
  <cp:lastModifiedBy>James Cross</cp:lastModifiedBy>
  <dcterms:created xsi:type="dcterms:W3CDTF">2023-03-03T11:51:05Z</dcterms:created>
  <dcterms:modified xsi:type="dcterms:W3CDTF">2023-03-10T16:57:19Z</dcterms:modified>
</cp:coreProperties>
</file>