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2875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52" i="1"/>
  <c r="C52" s="1"/>
  <c r="E52"/>
  <c r="C2"/>
  <c r="E3"/>
  <c r="E4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2"/>
  <c r="C3"/>
  <c r="C4"/>
  <c r="C5"/>
  <c r="C6"/>
  <c r="C7"/>
  <c r="C8"/>
  <c r="C9"/>
  <c r="C10"/>
  <c r="C11"/>
  <c r="B3"/>
  <c r="B4"/>
  <c r="B5"/>
  <c r="B6"/>
  <c r="B7"/>
  <c r="B8"/>
  <c r="B9"/>
  <c r="B10"/>
  <c r="B11"/>
  <c r="B12"/>
  <c r="C12" s="1"/>
  <c r="B13"/>
  <c r="C13" s="1"/>
  <c r="B14"/>
  <c r="C14" s="1"/>
  <c r="B15"/>
  <c r="C15" s="1"/>
  <c r="B16"/>
  <c r="C16" s="1"/>
  <c r="B17"/>
  <c r="C17" s="1"/>
  <c r="B18"/>
  <c r="C18" s="1"/>
  <c r="B19"/>
  <c r="C19" s="1"/>
  <c r="B20"/>
  <c r="C20" s="1"/>
  <c r="B21"/>
  <c r="C21" s="1"/>
  <c r="B22"/>
  <c r="C22" s="1"/>
  <c r="B23"/>
  <c r="C23" s="1"/>
  <c r="B24"/>
  <c r="C24" s="1"/>
  <c r="B25"/>
  <c r="C25" s="1"/>
  <c r="B26"/>
  <c r="C26" s="1"/>
  <c r="B27"/>
  <c r="C27" s="1"/>
  <c r="B28"/>
  <c r="C28" s="1"/>
  <c r="B29"/>
  <c r="C29" s="1"/>
  <c r="B30"/>
  <c r="C30" s="1"/>
  <c r="B31"/>
  <c r="C31" s="1"/>
  <c r="B32"/>
  <c r="C32" s="1"/>
  <c r="B33"/>
  <c r="C33" s="1"/>
  <c r="B34"/>
  <c r="C34" s="1"/>
  <c r="B35"/>
  <c r="C35" s="1"/>
  <c r="B36"/>
  <c r="C36" s="1"/>
  <c r="B37"/>
  <c r="C37" s="1"/>
  <c r="B38"/>
  <c r="C38" s="1"/>
  <c r="B39"/>
  <c r="C39" s="1"/>
  <c r="B40"/>
  <c r="C40" s="1"/>
  <c r="B41"/>
  <c r="C41" s="1"/>
  <c r="B42"/>
  <c r="C42" s="1"/>
  <c r="B43"/>
  <c r="C43" s="1"/>
  <c r="B44"/>
  <c r="C44" s="1"/>
  <c r="B45"/>
  <c r="C45" s="1"/>
  <c r="B46"/>
  <c r="C46" s="1"/>
  <c r="B47"/>
  <c r="C47" s="1"/>
  <c r="B48"/>
  <c r="C48" s="1"/>
  <c r="B49"/>
  <c r="C49" s="1"/>
  <c r="B50"/>
  <c r="C50" s="1"/>
  <c r="B51"/>
  <c r="C51" s="1"/>
  <c r="B2"/>
</calcChain>
</file>

<file path=xl/sharedStrings.xml><?xml version="1.0" encoding="utf-8"?>
<sst xmlns="http://schemas.openxmlformats.org/spreadsheetml/2006/main" count="4" uniqueCount="4">
  <si>
    <t>dP</t>
  </si>
  <si>
    <t>m/s</t>
  </si>
  <si>
    <t>knot</t>
  </si>
  <si>
    <t>PSI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</si>
</sst>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GB"/>
  <c:chart>
    <c:title>
      <c:layout/>
    </c:title>
    <c:plotArea>
      <c:layout/>
      <c:scatterChart>
        <c:scatterStyle val="smoothMarker"/>
        <c:ser>
          <c:idx val="0"/>
          <c:order val="0"/>
          <c:tx>
            <c:strRef>
              <c:f>Sheet1!$D$1</c:f>
              <c:strCache>
                <c:ptCount val="1"/>
                <c:pt idx="0">
                  <c:v>dP</c:v>
                </c:pt>
              </c:strCache>
            </c:strRef>
          </c:tx>
          <c:marker>
            <c:symbol val="none"/>
          </c:marker>
          <c:dLbls>
            <c:showVal val="1"/>
          </c:dLbls>
          <c:xVal>
            <c:numRef>
              <c:f>Sheet1!$C$2:$C$55</c:f>
              <c:numCache>
                <c:formatCode>0</c:formatCode>
                <c:ptCount val="54"/>
                <c:pt idx="0">
                  <c:v>0</c:v>
                </c:pt>
                <c:pt idx="1">
                  <c:v>7.854299688809478</c:v>
                </c:pt>
                <c:pt idx="2">
                  <c:v>11.107657142857143</c:v>
                </c:pt>
                <c:pt idx="3">
                  <c:v>13.604046118890437</c:v>
                </c:pt>
                <c:pt idx="4">
                  <c:v>15.708599377618956</c:v>
                </c:pt>
                <c:pt idx="5">
                  <c:v>17.562748019833435</c:v>
                </c:pt>
                <c:pt idx="6">
                  <c:v>19.239026524483922</c:v>
                </c:pt>
                <c:pt idx="7">
                  <c:v>20.780523699161879</c:v>
                </c:pt>
                <c:pt idx="8">
                  <c:v>22.215314285714285</c:v>
                </c:pt>
                <c:pt idx="9">
                  <c:v>23.562899066428432</c:v>
                </c:pt>
                <c:pt idx="10">
                  <c:v>24.837476442189665</c:v>
                </c:pt>
                <c:pt idx="11">
                  <c:v>35.125496039666871</c:v>
                </c:pt>
                <c:pt idx="12">
                  <c:v>43.019771129667575</c:v>
                </c:pt>
                <c:pt idx="13">
                  <c:v>49.67495288437933</c:v>
                </c:pt>
                <c:pt idx="14">
                  <c:v>55.538285714285713</c:v>
                </c:pt>
                <c:pt idx="15">
                  <c:v>60.839143781762409</c:v>
                </c:pt>
                <c:pt idx="16">
                  <c:v>65.713785860459183</c:v>
                </c:pt>
                <c:pt idx="17">
                  <c:v>70.250992079333741</c:v>
                </c:pt>
                <c:pt idx="18">
                  <c:v>74.512429326568991</c:v>
                </c:pt>
                <c:pt idx="19">
                  <c:v>78.542996888094763</c:v>
                </c:pt>
                <c:pt idx="20">
                  <c:v>82.37659009803447</c:v>
                </c:pt>
                <c:pt idx="21">
                  <c:v>86.03954225933515</c:v>
                </c:pt>
                <c:pt idx="22">
                  <c:v>89.55279486544373</c:v>
                </c:pt>
                <c:pt idx="23">
                  <c:v>92.933327198742703</c:v>
                </c:pt>
                <c:pt idx="24">
                  <c:v>96.195132622419607</c:v>
                </c:pt>
                <c:pt idx="25">
                  <c:v>99.34990576875866</c:v>
                </c:pt>
                <c:pt idx="26">
                  <c:v>102.40753884493832</c:v>
                </c:pt>
                <c:pt idx="27">
                  <c:v>105.37648811900061</c:v>
                </c:pt>
                <c:pt idx="28">
                  <c:v>108.26404982407689</c:v>
                </c:pt>
                <c:pt idx="29">
                  <c:v>111.07657142857143</c:v>
                </c:pt>
                <c:pt idx="30">
                  <c:v>113.8196158680166</c:v>
                </c:pt>
                <c:pt idx="31">
                  <c:v>116.49809093868956</c:v>
                </c:pt>
                <c:pt idx="32">
                  <c:v>119.11635248099024</c:v>
                </c:pt>
                <c:pt idx="33">
                  <c:v>121.67828756352482</c:v>
                </c:pt>
                <c:pt idx="34">
                  <c:v>124.18738221094831</c:v>
                </c:pt>
                <c:pt idx="35">
                  <c:v>126.64677704712618</c:v>
                </c:pt>
                <c:pt idx="36">
                  <c:v>129.05931338900271</c:v>
                </c:pt>
                <c:pt idx="37">
                  <c:v>131.42757172091837</c:v>
                </c:pt>
                <c:pt idx="38">
                  <c:v>133.75390403451209</c:v>
                </c:pt>
                <c:pt idx="39">
                  <c:v>136.04046118890437</c:v>
                </c:pt>
                <c:pt idx="40">
                  <c:v>138.28921619745381</c:v>
                </c:pt>
                <c:pt idx="41">
                  <c:v>140.50198415866748</c:v>
                </c:pt>
                <c:pt idx="42">
                  <c:v>142.680439404071</c:v>
                </c:pt>
                <c:pt idx="43">
                  <c:v>144.82613032376133</c:v>
                </c:pt>
                <c:pt idx="44">
                  <c:v>146.94049224285124</c:v>
                </c:pt>
                <c:pt idx="45">
                  <c:v>149.02485865313798</c:v>
                </c:pt>
                <c:pt idx="46">
                  <c:v>151.08047104971601</c:v>
                </c:pt>
                <c:pt idx="47">
                  <c:v>153.10848757864605</c:v>
                </c:pt>
                <c:pt idx="48">
                  <c:v>155.10999066674179</c:v>
                </c:pt>
                <c:pt idx="49">
                  <c:v>157.08599377618953</c:v>
                </c:pt>
                <c:pt idx="50">
                  <c:v>192.39026524483921</c:v>
                </c:pt>
              </c:numCache>
            </c:numRef>
          </c:xVal>
          <c:yVal>
            <c:numRef>
              <c:f>Sheet1!$D$2:$D$55</c:f>
              <c:numCache>
                <c:formatCode>0.00</c:formatCode>
                <c:ptCount val="54"/>
                <c:pt idx="0" formatCode="0.0">
                  <c:v>0</c:v>
                </c:pt>
                <c:pt idx="1">
                  <c:v>0.01</c:v>
                </c:pt>
                <c:pt idx="2">
                  <c:v>0.02</c:v>
                </c:pt>
                <c:pt idx="3">
                  <c:v>0.03</c:v>
                </c:pt>
                <c:pt idx="4">
                  <c:v>0.04</c:v>
                </c:pt>
                <c:pt idx="5">
                  <c:v>0.05</c:v>
                </c:pt>
                <c:pt idx="6">
                  <c:v>0.06</c:v>
                </c:pt>
                <c:pt idx="7">
                  <c:v>7.0000000000000007E-2</c:v>
                </c:pt>
                <c:pt idx="8">
                  <c:v>0.08</c:v>
                </c:pt>
                <c:pt idx="9">
                  <c:v>0.09</c:v>
                </c:pt>
                <c:pt idx="10" formatCode="0.0">
                  <c:v>0.1</c:v>
                </c:pt>
                <c:pt idx="11" formatCode="0.0">
                  <c:v>0.2</c:v>
                </c:pt>
                <c:pt idx="12" formatCode="0.0">
                  <c:v>0.3</c:v>
                </c:pt>
                <c:pt idx="13" formatCode="0.0">
                  <c:v>0.4</c:v>
                </c:pt>
                <c:pt idx="14" formatCode="0.0">
                  <c:v>0.5</c:v>
                </c:pt>
                <c:pt idx="15" formatCode="0.0">
                  <c:v>0.6</c:v>
                </c:pt>
                <c:pt idx="16" formatCode="0.0">
                  <c:v>0.7</c:v>
                </c:pt>
                <c:pt idx="17" formatCode="0.0">
                  <c:v>0.8</c:v>
                </c:pt>
                <c:pt idx="18" formatCode="0.0">
                  <c:v>0.9</c:v>
                </c:pt>
                <c:pt idx="19" formatCode="0.0">
                  <c:v>1</c:v>
                </c:pt>
                <c:pt idx="20" formatCode="0.0">
                  <c:v>1.1000000000000001</c:v>
                </c:pt>
                <c:pt idx="21" formatCode="0.0">
                  <c:v>1.2</c:v>
                </c:pt>
                <c:pt idx="22" formatCode="0.0">
                  <c:v>1.3</c:v>
                </c:pt>
                <c:pt idx="23" formatCode="0.0">
                  <c:v>1.4</c:v>
                </c:pt>
                <c:pt idx="24" formatCode="0.0">
                  <c:v>1.5</c:v>
                </c:pt>
                <c:pt idx="25" formatCode="0.0">
                  <c:v>1.6</c:v>
                </c:pt>
                <c:pt idx="26" formatCode="0.0">
                  <c:v>1.7</c:v>
                </c:pt>
                <c:pt idx="27" formatCode="0.0">
                  <c:v>1.8</c:v>
                </c:pt>
                <c:pt idx="28" formatCode="0.0">
                  <c:v>1.9</c:v>
                </c:pt>
                <c:pt idx="29" formatCode="0.0">
                  <c:v>2</c:v>
                </c:pt>
                <c:pt idx="30" formatCode="0.0">
                  <c:v>2.1</c:v>
                </c:pt>
                <c:pt idx="31" formatCode="0.0">
                  <c:v>2.2000000000000002</c:v>
                </c:pt>
                <c:pt idx="32" formatCode="0.0">
                  <c:v>2.2999999999999998</c:v>
                </c:pt>
                <c:pt idx="33" formatCode="0.0">
                  <c:v>2.4</c:v>
                </c:pt>
                <c:pt idx="34" formatCode="0.0">
                  <c:v>2.5</c:v>
                </c:pt>
                <c:pt idx="35" formatCode="0.0">
                  <c:v>2.6</c:v>
                </c:pt>
                <c:pt idx="36" formatCode="0.0">
                  <c:v>2.7</c:v>
                </c:pt>
                <c:pt idx="37" formatCode="0.0">
                  <c:v>2.8</c:v>
                </c:pt>
                <c:pt idx="38" formatCode="0.0">
                  <c:v>2.9</c:v>
                </c:pt>
                <c:pt idx="39" formatCode="0.0">
                  <c:v>3</c:v>
                </c:pt>
                <c:pt idx="40" formatCode="0.0">
                  <c:v>3.1</c:v>
                </c:pt>
                <c:pt idx="41" formatCode="0.0">
                  <c:v>3.2</c:v>
                </c:pt>
                <c:pt idx="42" formatCode="0.0">
                  <c:v>3.3</c:v>
                </c:pt>
                <c:pt idx="43" formatCode="0.0">
                  <c:v>3.4</c:v>
                </c:pt>
                <c:pt idx="44" formatCode="0.0">
                  <c:v>3.5</c:v>
                </c:pt>
                <c:pt idx="45" formatCode="0.0">
                  <c:v>3.6</c:v>
                </c:pt>
                <c:pt idx="46" formatCode="0.0">
                  <c:v>3.7</c:v>
                </c:pt>
                <c:pt idx="47" formatCode="0.0">
                  <c:v>3.8</c:v>
                </c:pt>
                <c:pt idx="48" formatCode="0.0">
                  <c:v>3.9</c:v>
                </c:pt>
                <c:pt idx="49" formatCode="0.0">
                  <c:v>4</c:v>
                </c:pt>
                <c:pt idx="50" formatCode="0.0">
                  <c:v>6</c:v>
                </c:pt>
              </c:numCache>
            </c:numRef>
          </c:yVal>
          <c:smooth val="1"/>
        </c:ser>
        <c:axId val="111627264"/>
        <c:axId val="111874816"/>
      </c:scatterChart>
      <c:valAx>
        <c:axId val="111627264"/>
        <c:scaling>
          <c:orientation val="minMax"/>
        </c:scaling>
        <c:axPos val="b"/>
        <c:numFmt formatCode="0" sourceLinked="1"/>
        <c:tickLblPos val="nextTo"/>
        <c:crossAx val="111874816"/>
        <c:crosses val="autoZero"/>
        <c:crossBetween val="midCat"/>
      </c:valAx>
      <c:valAx>
        <c:axId val="111874816"/>
        <c:scaling>
          <c:orientation val="minMax"/>
        </c:scaling>
        <c:axPos val="l"/>
        <c:majorGridlines/>
        <c:numFmt formatCode="0.0" sourceLinked="1"/>
        <c:tickLblPos val="nextTo"/>
        <c:crossAx val="111627264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0</xdr:row>
      <xdr:rowOff>180975</xdr:rowOff>
    </xdr:from>
    <xdr:to>
      <xdr:col>30</xdr:col>
      <xdr:colOff>161925</xdr:colOff>
      <xdr:row>40</xdr:row>
      <xdr:rowOff>28575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E54"/>
  <sheetViews>
    <sheetView tabSelected="1" topLeftCell="A4" workbookViewId="0">
      <selection activeCell="D55" sqref="D55"/>
    </sheetView>
  </sheetViews>
  <sheetFormatPr defaultRowHeight="15"/>
  <cols>
    <col min="2" max="2" width="4.5703125" bestFit="1" customWidth="1"/>
    <col min="3" max="3" width="5" bestFit="1" customWidth="1"/>
    <col min="4" max="4" width="4.5703125" bestFit="1" customWidth="1"/>
  </cols>
  <sheetData>
    <row r="1" spans="2:5">
      <c r="B1" t="s">
        <v>1</v>
      </c>
      <c r="C1" t="s">
        <v>2</v>
      </c>
      <c r="D1" t="s">
        <v>0</v>
      </c>
      <c r="E1" t="s">
        <v>3</v>
      </c>
    </row>
    <row r="2" spans="2:5">
      <c r="B2" s="1">
        <f>SQRT(2*D2*1000/1.225)</f>
        <v>0</v>
      </c>
      <c r="C2" s="3">
        <f>B2*1.94384</f>
        <v>0</v>
      </c>
      <c r="D2" s="1">
        <v>0</v>
      </c>
      <c r="E2" s="4">
        <f>D2*0.145038</f>
        <v>0</v>
      </c>
    </row>
    <row r="3" spans="2:5">
      <c r="B3" s="1">
        <f t="shared" ref="B3:B11" si="0">SQRT(2*D3*1000/1.225)</f>
        <v>4.0406101782088433</v>
      </c>
      <c r="C3" s="3">
        <f t="shared" ref="C3:C11" si="1">B3*1.94384</f>
        <v>7.854299688809478</v>
      </c>
      <c r="D3" s="2">
        <v>0.01</v>
      </c>
      <c r="E3" s="4">
        <f t="shared" ref="E3:E52" si="2">D3*0.145038</f>
        <v>1.45038E-3</v>
      </c>
    </row>
    <row r="4" spans="2:5">
      <c r="B4" s="1">
        <f t="shared" si="0"/>
        <v>5.7142857142857144</v>
      </c>
      <c r="C4" s="3">
        <f t="shared" si="1"/>
        <v>11.107657142857143</v>
      </c>
      <c r="D4" s="2">
        <v>0.02</v>
      </c>
      <c r="E4" s="4">
        <f t="shared" si="2"/>
        <v>2.9007600000000001E-3</v>
      </c>
    </row>
    <row r="5" spans="2:5">
      <c r="B5" s="1">
        <f t="shared" si="0"/>
        <v>6.9985421222376516</v>
      </c>
      <c r="C5" s="3">
        <f t="shared" si="1"/>
        <v>13.604046118890437</v>
      </c>
      <c r="D5" s="2">
        <v>0.03</v>
      </c>
      <c r="E5" s="4">
        <f t="shared" si="2"/>
        <v>4.3511399999999999E-3</v>
      </c>
    </row>
    <row r="6" spans="2:5">
      <c r="B6" s="1">
        <f t="shared" si="0"/>
        <v>8.0812203564176865</v>
      </c>
      <c r="C6" s="3">
        <f t="shared" si="1"/>
        <v>15.708599377618956</v>
      </c>
      <c r="D6" s="2">
        <v>0.04</v>
      </c>
      <c r="E6" s="4">
        <f t="shared" si="2"/>
        <v>5.8015200000000001E-3</v>
      </c>
    </row>
    <row r="7" spans="2:5">
      <c r="B7" s="1">
        <f t="shared" si="0"/>
        <v>9.0350790290525129</v>
      </c>
      <c r="C7" s="3">
        <f t="shared" si="1"/>
        <v>17.562748019833435</v>
      </c>
      <c r="D7" s="2">
        <v>0.05</v>
      </c>
      <c r="E7" s="4">
        <f t="shared" si="2"/>
        <v>7.2519000000000004E-3</v>
      </c>
    </row>
    <row r="8" spans="2:5">
      <c r="B8" s="1">
        <f t="shared" si="0"/>
        <v>9.8974331861078699</v>
      </c>
      <c r="C8" s="3">
        <f t="shared" si="1"/>
        <v>19.239026524483922</v>
      </c>
      <c r="D8" s="2">
        <v>0.06</v>
      </c>
      <c r="E8" s="4">
        <f t="shared" si="2"/>
        <v>8.7022799999999997E-3</v>
      </c>
    </row>
    <row r="9" spans="2:5">
      <c r="B9" s="1">
        <f t="shared" si="0"/>
        <v>10.690449676496975</v>
      </c>
      <c r="C9" s="3">
        <f t="shared" si="1"/>
        <v>20.780523699161879</v>
      </c>
      <c r="D9" s="2">
        <v>7.0000000000000007E-2</v>
      </c>
      <c r="E9" s="4">
        <f t="shared" si="2"/>
        <v>1.0152660000000001E-2</v>
      </c>
    </row>
    <row r="10" spans="2:5">
      <c r="B10" s="1">
        <f t="shared" si="0"/>
        <v>11.428571428571429</v>
      </c>
      <c r="C10" s="3">
        <f t="shared" si="1"/>
        <v>22.215314285714285</v>
      </c>
      <c r="D10" s="2">
        <v>0.08</v>
      </c>
      <c r="E10" s="4">
        <f t="shared" si="2"/>
        <v>1.160304E-2</v>
      </c>
    </row>
    <row r="11" spans="2:5">
      <c r="B11" s="1">
        <f t="shared" si="0"/>
        <v>12.121830534626529</v>
      </c>
      <c r="C11" s="3">
        <f t="shared" si="1"/>
        <v>23.562899066428432</v>
      </c>
      <c r="D11" s="2">
        <v>0.09</v>
      </c>
      <c r="E11" s="4">
        <f t="shared" si="2"/>
        <v>1.305342E-2</v>
      </c>
    </row>
    <row r="12" spans="2:5">
      <c r="B12" s="1">
        <f t="shared" ref="B12:B52" si="3">SQRT(2*D12*1000/1.225)</f>
        <v>12.777531299998799</v>
      </c>
      <c r="C12" s="3">
        <f t="shared" ref="C12:C52" si="4">B12*1.94384</f>
        <v>24.837476442189665</v>
      </c>
      <c r="D12" s="1">
        <v>0.1</v>
      </c>
      <c r="E12" s="4">
        <f t="shared" si="2"/>
        <v>1.4503800000000001E-2</v>
      </c>
    </row>
    <row r="13" spans="2:5">
      <c r="B13" s="1">
        <f t="shared" si="3"/>
        <v>18.070158058105026</v>
      </c>
      <c r="C13" s="3">
        <f t="shared" si="4"/>
        <v>35.125496039666871</v>
      </c>
      <c r="D13" s="1">
        <v>0.2</v>
      </c>
      <c r="E13" s="4">
        <f t="shared" si="2"/>
        <v>2.9007600000000001E-2</v>
      </c>
    </row>
    <row r="14" spans="2:5">
      <c r="B14" s="1">
        <f t="shared" si="3"/>
        <v>22.131333406899525</v>
      </c>
      <c r="C14" s="3">
        <f t="shared" si="4"/>
        <v>43.019771129667575</v>
      </c>
      <c r="D14" s="1">
        <v>0.3</v>
      </c>
      <c r="E14" s="4">
        <f t="shared" si="2"/>
        <v>4.3511399999999999E-2</v>
      </c>
    </row>
    <row r="15" spans="2:5">
      <c r="B15" s="1">
        <f t="shared" si="3"/>
        <v>25.555062599997598</v>
      </c>
      <c r="C15" s="3">
        <f t="shared" si="4"/>
        <v>49.67495288437933</v>
      </c>
      <c r="D15" s="1">
        <v>0.4</v>
      </c>
      <c r="E15" s="4">
        <f t="shared" si="2"/>
        <v>5.8015200000000003E-2</v>
      </c>
    </row>
    <row r="16" spans="2:5">
      <c r="B16" s="1">
        <f t="shared" si="3"/>
        <v>28.571428571428569</v>
      </c>
      <c r="C16" s="3">
        <f t="shared" si="4"/>
        <v>55.538285714285713</v>
      </c>
      <c r="D16" s="1">
        <v>0.5</v>
      </c>
      <c r="E16" s="4">
        <f t="shared" si="2"/>
        <v>7.2519E-2</v>
      </c>
    </row>
    <row r="17" spans="2:5">
      <c r="B17" s="1">
        <f t="shared" si="3"/>
        <v>31.298431857438064</v>
      </c>
      <c r="C17" s="3">
        <f t="shared" si="4"/>
        <v>60.839143781762409</v>
      </c>
      <c r="D17" s="1">
        <v>0.6</v>
      </c>
      <c r="E17" s="4">
        <f t="shared" si="2"/>
        <v>8.7022799999999997E-2</v>
      </c>
    </row>
    <row r="18" spans="2:5">
      <c r="B18" s="1">
        <f t="shared" si="3"/>
        <v>33.806170189140659</v>
      </c>
      <c r="C18" s="3">
        <f t="shared" si="4"/>
        <v>65.713785860459183</v>
      </c>
      <c r="D18" s="1">
        <v>0.7</v>
      </c>
      <c r="E18" s="4">
        <f t="shared" si="2"/>
        <v>0.10152659999999999</v>
      </c>
    </row>
    <row r="19" spans="2:5">
      <c r="B19" s="1">
        <f t="shared" si="3"/>
        <v>36.140316116210052</v>
      </c>
      <c r="C19" s="3">
        <f t="shared" si="4"/>
        <v>70.250992079333741</v>
      </c>
      <c r="D19" s="1">
        <v>0.8</v>
      </c>
      <c r="E19" s="4">
        <f t="shared" si="2"/>
        <v>0.11603040000000001</v>
      </c>
    </row>
    <row r="20" spans="2:5">
      <c r="B20" s="1">
        <f t="shared" si="3"/>
        <v>38.332593899996397</v>
      </c>
      <c r="C20" s="3">
        <f t="shared" si="4"/>
        <v>74.512429326568991</v>
      </c>
      <c r="D20" s="1">
        <v>0.9</v>
      </c>
      <c r="E20" s="4">
        <f t="shared" si="2"/>
        <v>0.13053420000000002</v>
      </c>
    </row>
    <row r="21" spans="2:5">
      <c r="B21" s="1">
        <f t="shared" si="3"/>
        <v>40.406101782088427</v>
      </c>
      <c r="C21" s="3">
        <f t="shared" si="4"/>
        <v>78.542996888094763</v>
      </c>
      <c r="D21" s="1">
        <v>1</v>
      </c>
      <c r="E21" s="4">
        <f t="shared" si="2"/>
        <v>0.145038</v>
      </c>
    </row>
    <row r="22" spans="2:5">
      <c r="B22" s="1">
        <f t="shared" si="3"/>
        <v>42.37827706911807</v>
      </c>
      <c r="C22" s="3">
        <f t="shared" si="4"/>
        <v>82.37659009803447</v>
      </c>
      <c r="D22" s="1">
        <v>1.1000000000000001</v>
      </c>
      <c r="E22" s="4">
        <f t="shared" si="2"/>
        <v>0.15954180000000001</v>
      </c>
    </row>
    <row r="23" spans="2:5">
      <c r="B23" s="1">
        <f t="shared" si="3"/>
        <v>44.262666813799051</v>
      </c>
      <c r="C23" s="3">
        <f t="shared" si="4"/>
        <v>86.03954225933515</v>
      </c>
      <c r="D23" s="1">
        <v>1.2</v>
      </c>
      <c r="E23" s="4">
        <f t="shared" si="2"/>
        <v>0.17404559999999999</v>
      </c>
    </row>
    <row r="24" spans="2:5">
      <c r="B24" s="1">
        <f t="shared" si="3"/>
        <v>46.070044275991712</v>
      </c>
      <c r="C24" s="3">
        <f t="shared" si="4"/>
        <v>89.55279486544373</v>
      </c>
      <c r="D24" s="1">
        <v>1.3</v>
      </c>
      <c r="E24" s="4">
        <f t="shared" si="2"/>
        <v>0.18854940000000001</v>
      </c>
    </row>
    <row r="25" spans="2:5">
      <c r="B25" s="1">
        <f t="shared" si="3"/>
        <v>47.809144373375744</v>
      </c>
      <c r="C25" s="3">
        <f t="shared" si="4"/>
        <v>92.933327198742703</v>
      </c>
      <c r="D25" s="1">
        <v>1.4</v>
      </c>
      <c r="E25" s="4">
        <f t="shared" si="2"/>
        <v>0.20305319999999999</v>
      </c>
    </row>
    <row r="26" spans="2:5">
      <c r="B26" s="1">
        <f t="shared" si="3"/>
        <v>49.487165930539348</v>
      </c>
      <c r="C26" s="3">
        <f t="shared" si="4"/>
        <v>96.195132622419607</v>
      </c>
      <c r="D26" s="1">
        <v>1.5</v>
      </c>
      <c r="E26" s="4">
        <f t="shared" si="2"/>
        <v>0.217557</v>
      </c>
    </row>
    <row r="27" spans="2:5">
      <c r="B27" s="1">
        <f t="shared" si="3"/>
        <v>51.110125199995196</v>
      </c>
      <c r="C27" s="3">
        <f t="shared" si="4"/>
        <v>99.34990576875866</v>
      </c>
      <c r="D27" s="1">
        <v>1.6</v>
      </c>
      <c r="E27" s="4">
        <f t="shared" si="2"/>
        <v>0.23206080000000001</v>
      </c>
    </row>
    <row r="28" spans="2:5">
      <c r="B28" s="1">
        <f t="shared" si="3"/>
        <v>52.68311118453078</v>
      </c>
      <c r="C28" s="3">
        <f t="shared" si="4"/>
        <v>102.40753884493832</v>
      </c>
      <c r="D28" s="1">
        <v>1.7</v>
      </c>
      <c r="E28" s="4">
        <f t="shared" si="2"/>
        <v>0.24656459999999999</v>
      </c>
    </row>
    <row r="29" spans="2:5">
      <c r="B29" s="1">
        <f t="shared" si="3"/>
        <v>54.210474174315074</v>
      </c>
      <c r="C29" s="3">
        <f t="shared" si="4"/>
        <v>105.37648811900061</v>
      </c>
      <c r="D29" s="1">
        <v>1.8</v>
      </c>
      <c r="E29" s="4">
        <f t="shared" si="2"/>
        <v>0.26106840000000003</v>
      </c>
    </row>
    <row r="30" spans="2:5">
      <c r="B30" s="1">
        <f t="shared" si="3"/>
        <v>55.695967684622651</v>
      </c>
      <c r="C30" s="3">
        <f t="shared" si="4"/>
        <v>108.26404982407689</v>
      </c>
      <c r="D30" s="1">
        <v>1.9</v>
      </c>
      <c r="E30" s="4">
        <f t="shared" si="2"/>
        <v>0.27557219999999999</v>
      </c>
    </row>
    <row r="31" spans="2:5">
      <c r="B31" s="1">
        <f t="shared" si="3"/>
        <v>57.142857142857139</v>
      </c>
      <c r="C31" s="3">
        <f t="shared" si="4"/>
        <v>111.07657142857143</v>
      </c>
      <c r="D31" s="1">
        <v>2</v>
      </c>
      <c r="E31" s="4">
        <f t="shared" si="2"/>
        <v>0.290076</v>
      </c>
    </row>
    <row r="32" spans="2:5">
      <c r="B32" s="1">
        <f t="shared" si="3"/>
        <v>58.55400437691199</v>
      </c>
      <c r="C32" s="3">
        <f t="shared" si="4"/>
        <v>113.8196158680166</v>
      </c>
      <c r="D32" s="1">
        <v>2.1</v>
      </c>
      <c r="E32" s="4">
        <f t="shared" si="2"/>
        <v>0.30457980000000001</v>
      </c>
    </row>
    <row r="33" spans="2:5">
      <c r="B33" s="1">
        <f t="shared" si="3"/>
        <v>59.931934181151512</v>
      </c>
      <c r="C33" s="3">
        <f t="shared" si="4"/>
        <v>116.49809093868956</v>
      </c>
      <c r="D33" s="1">
        <v>2.2000000000000002</v>
      </c>
      <c r="E33" s="4">
        <f t="shared" si="2"/>
        <v>0.31908360000000002</v>
      </c>
    </row>
    <row r="34" spans="2:5">
      <c r="B34" s="1">
        <f t="shared" si="3"/>
        <v>61.278887398649189</v>
      </c>
      <c r="C34" s="3">
        <f t="shared" si="4"/>
        <v>119.11635248099024</v>
      </c>
      <c r="D34" s="1">
        <v>2.2999999999999998</v>
      </c>
      <c r="E34" s="4">
        <f t="shared" si="2"/>
        <v>0.33358739999999998</v>
      </c>
    </row>
    <row r="35" spans="2:5">
      <c r="B35" s="1">
        <f t="shared" si="3"/>
        <v>62.596863714876129</v>
      </c>
      <c r="C35" s="3">
        <f t="shared" si="4"/>
        <v>121.67828756352482</v>
      </c>
      <c r="D35" s="1">
        <v>2.4</v>
      </c>
      <c r="E35" s="4">
        <f t="shared" si="2"/>
        <v>0.34809119999999999</v>
      </c>
    </row>
    <row r="36" spans="2:5">
      <c r="B36" s="1">
        <f t="shared" si="3"/>
        <v>63.887656499993987</v>
      </c>
      <c r="C36" s="3">
        <f t="shared" si="4"/>
        <v>124.18738221094831</v>
      </c>
      <c r="D36" s="1">
        <v>2.5</v>
      </c>
      <c r="E36" s="4">
        <f t="shared" si="2"/>
        <v>0.362595</v>
      </c>
    </row>
    <row r="37" spans="2:5">
      <c r="B37" s="1">
        <f t="shared" si="3"/>
        <v>65.152881434236448</v>
      </c>
      <c r="C37" s="3">
        <f t="shared" si="4"/>
        <v>126.64677704712618</v>
      </c>
      <c r="D37" s="1">
        <v>2.6</v>
      </c>
      <c r="E37" s="4">
        <f t="shared" si="2"/>
        <v>0.37709880000000001</v>
      </c>
    </row>
    <row r="38" spans="2:5">
      <c r="B38" s="1">
        <f t="shared" si="3"/>
        <v>66.394000220698572</v>
      </c>
      <c r="C38" s="3">
        <f t="shared" si="4"/>
        <v>129.05931338900271</v>
      </c>
      <c r="D38" s="1">
        <v>2.7</v>
      </c>
      <c r="E38" s="4">
        <f t="shared" si="2"/>
        <v>0.39160260000000002</v>
      </c>
    </row>
    <row r="39" spans="2:5">
      <c r="B39" s="1">
        <f t="shared" si="3"/>
        <v>67.612340378281317</v>
      </c>
      <c r="C39" s="3">
        <f t="shared" si="4"/>
        <v>131.42757172091837</v>
      </c>
      <c r="D39" s="1">
        <v>2.8</v>
      </c>
      <c r="E39" s="4">
        <f t="shared" si="2"/>
        <v>0.40610639999999998</v>
      </c>
    </row>
    <row r="40" spans="2:5">
      <c r="B40" s="1">
        <f t="shared" si="3"/>
        <v>68.809111878813113</v>
      </c>
      <c r="C40" s="3">
        <f t="shared" si="4"/>
        <v>133.75390403451209</v>
      </c>
      <c r="D40" s="1">
        <v>2.9</v>
      </c>
      <c r="E40" s="4">
        <f t="shared" si="2"/>
        <v>0.42061019999999999</v>
      </c>
    </row>
    <row r="41" spans="2:5">
      <c r="B41" s="1">
        <f t="shared" si="3"/>
        <v>69.985421222376516</v>
      </c>
      <c r="C41" s="3">
        <f t="shared" si="4"/>
        <v>136.04046118890437</v>
      </c>
      <c r="D41" s="1">
        <v>3</v>
      </c>
      <c r="E41" s="4">
        <f t="shared" si="2"/>
        <v>0.435114</v>
      </c>
    </row>
    <row r="42" spans="2:5">
      <c r="B42" s="1">
        <f t="shared" si="3"/>
        <v>71.142283417078474</v>
      </c>
      <c r="C42" s="3">
        <f t="shared" si="4"/>
        <v>138.28921619745381</v>
      </c>
      <c r="D42" s="1">
        <v>3.1</v>
      </c>
      <c r="E42" s="4">
        <f t="shared" si="2"/>
        <v>0.44961780000000001</v>
      </c>
    </row>
    <row r="43" spans="2:5">
      <c r="B43" s="1">
        <f t="shared" si="3"/>
        <v>72.280632232420103</v>
      </c>
      <c r="C43" s="3">
        <f t="shared" si="4"/>
        <v>140.50198415866748</v>
      </c>
      <c r="D43" s="1">
        <v>3.2</v>
      </c>
      <c r="E43" s="4">
        <f t="shared" si="2"/>
        <v>0.46412160000000002</v>
      </c>
    </row>
    <row r="44" spans="2:5">
      <c r="B44" s="1">
        <f t="shared" si="3"/>
        <v>73.401329020943592</v>
      </c>
      <c r="C44" s="3">
        <f t="shared" si="4"/>
        <v>142.680439404071</v>
      </c>
      <c r="D44" s="1">
        <v>3.3</v>
      </c>
      <c r="E44" s="4">
        <f t="shared" si="2"/>
        <v>0.47862539999999998</v>
      </c>
    </row>
    <row r="45" spans="2:5">
      <c r="B45" s="1">
        <f t="shared" si="3"/>
        <v>74.505170345173127</v>
      </c>
      <c r="C45" s="3">
        <f t="shared" si="4"/>
        <v>144.82613032376133</v>
      </c>
      <c r="D45" s="1">
        <v>3.4</v>
      </c>
      <c r="E45" s="4">
        <f t="shared" si="2"/>
        <v>0.49312919999999999</v>
      </c>
    </row>
    <row r="46" spans="2:5">
      <c r="B46" s="1">
        <f t="shared" si="3"/>
        <v>75.592894601845444</v>
      </c>
      <c r="C46" s="3">
        <f t="shared" si="4"/>
        <v>146.94049224285124</v>
      </c>
      <c r="D46" s="1">
        <v>3.5</v>
      </c>
      <c r="E46" s="4">
        <f t="shared" si="2"/>
        <v>0.507633</v>
      </c>
    </row>
    <row r="47" spans="2:5">
      <c r="B47" s="1">
        <f t="shared" si="3"/>
        <v>76.665187799992793</v>
      </c>
      <c r="C47" s="3">
        <f t="shared" si="4"/>
        <v>149.02485865313798</v>
      </c>
      <c r="D47" s="1">
        <v>3.6</v>
      </c>
      <c r="E47" s="4">
        <f t="shared" si="2"/>
        <v>0.52213680000000007</v>
      </c>
    </row>
    <row r="48" spans="2:5">
      <c r="B48" s="1">
        <f t="shared" si="3"/>
        <v>77.722688621345384</v>
      </c>
      <c r="C48" s="3">
        <f t="shared" si="4"/>
        <v>151.08047104971601</v>
      </c>
      <c r="D48" s="1">
        <v>3.7</v>
      </c>
      <c r="E48" s="4">
        <f t="shared" si="2"/>
        <v>0.53664060000000002</v>
      </c>
    </row>
    <row r="49" spans="2:5">
      <c r="B49" s="1">
        <f t="shared" si="3"/>
        <v>78.765992869086986</v>
      </c>
      <c r="C49" s="3">
        <f t="shared" si="4"/>
        <v>153.10848757864605</v>
      </c>
      <c r="D49" s="1">
        <v>3.8</v>
      </c>
      <c r="E49" s="4">
        <f t="shared" si="2"/>
        <v>0.55114439999999998</v>
      </c>
    </row>
    <row r="50" spans="2:5">
      <c r="B50" s="1">
        <f t="shared" si="3"/>
        <v>79.795657392965367</v>
      </c>
      <c r="C50" s="3">
        <f t="shared" si="4"/>
        <v>155.10999066674179</v>
      </c>
      <c r="D50" s="1">
        <v>3.9</v>
      </c>
      <c r="E50" s="4">
        <f t="shared" si="2"/>
        <v>0.56564819999999993</v>
      </c>
    </row>
    <row r="51" spans="2:5">
      <c r="B51" s="1">
        <f t="shared" si="3"/>
        <v>80.812203564176855</v>
      </c>
      <c r="C51" s="3">
        <f t="shared" si="4"/>
        <v>157.08599377618953</v>
      </c>
      <c r="D51" s="1">
        <v>4</v>
      </c>
      <c r="E51" s="4">
        <f t="shared" si="2"/>
        <v>0.580152</v>
      </c>
    </row>
    <row r="52" spans="2:5">
      <c r="B52" s="1">
        <f t="shared" si="3"/>
        <v>98.974331861078696</v>
      </c>
      <c r="C52" s="3">
        <f t="shared" si="4"/>
        <v>192.39026524483921</v>
      </c>
      <c r="D52" s="1">
        <v>6</v>
      </c>
      <c r="E52" s="4">
        <f t="shared" si="2"/>
        <v>0.870228</v>
      </c>
    </row>
    <row r="53" spans="2:5">
      <c r="B53" s="1"/>
      <c r="C53" s="3"/>
      <c r="D53" s="1"/>
    </row>
    <row r="54" spans="2:5">
      <c r="B54" s="1"/>
      <c r="C54" s="3"/>
      <c r="D54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Cross</dc:creator>
  <cp:lastModifiedBy>James Cross</cp:lastModifiedBy>
  <dcterms:created xsi:type="dcterms:W3CDTF">2020-10-19T10:55:16Z</dcterms:created>
  <dcterms:modified xsi:type="dcterms:W3CDTF">2020-10-21T15:24:33Z</dcterms:modified>
</cp:coreProperties>
</file>